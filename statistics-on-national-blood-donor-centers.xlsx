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30"/>
  </bookViews>
  <sheets>
    <sheet name="مختصر الاحصائية 2022" sheetId="12" r:id="rId1"/>
    <sheet name="عدد المتبرعين حسب الجنسية" sheetId="8" r:id="rId2"/>
    <sheet name="عدد المتبرعين حسب الجنس" sheetId="9" r:id="rId3"/>
    <sheet name="حملات التبرع بالدم" sheetId="11" r:id="rId4"/>
  </sheets>
  <definedNames>
    <definedName name="_xlnm._FilterDatabase" localSheetId="3" hidden="1">'حملات التبرع بالدم'!$A$4:$H$25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2" l="1"/>
  <c r="M26" i="12"/>
  <c r="N26" i="12"/>
  <c r="J26" i="12" l="1"/>
  <c r="B25" i="11" l="1"/>
  <c r="Q286" i="8"/>
  <c r="B26" i="12"/>
  <c r="C26" i="12"/>
  <c r="D26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 l="1"/>
  <c r="H323" i="8"/>
  <c r="H324" i="8"/>
  <c r="D325" i="8"/>
  <c r="E325" i="8"/>
  <c r="F325" i="8"/>
  <c r="G325" i="8"/>
  <c r="H325" i="8"/>
  <c r="H327" i="8"/>
  <c r="H328" i="8"/>
  <c r="D181" i="8" l="1"/>
  <c r="H94" i="8" l="1"/>
  <c r="H95" i="8"/>
  <c r="D96" i="8"/>
  <c r="E96" i="8"/>
  <c r="F96" i="8"/>
  <c r="G96" i="8"/>
  <c r="H96" i="8"/>
  <c r="H365" i="8" l="1"/>
  <c r="H366" i="8"/>
  <c r="D367" i="8"/>
  <c r="E367" i="8"/>
  <c r="F367" i="8"/>
  <c r="G367" i="8"/>
  <c r="H367" i="8" l="1"/>
  <c r="H29" i="8" l="1"/>
  <c r="H30" i="8"/>
  <c r="D31" i="8"/>
  <c r="E31" i="8"/>
  <c r="F31" i="8"/>
  <c r="G31" i="8"/>
  <c r="H31" i="8" l="1"/>
  <c r="H157" i="8" l="1"/>
  <c r="H158" i="8"/>
  <c r="D159" i="8"/>
  <c r="E159" i="8"/>
  <c r="E161" i="8" s="1"/>
  <c r="F159" i="8"/>
  <c r="F161" i="8" s="1"/>
  <c r="G159" i="8"/>
  <c r="G161" i="8" s="1"/>
  <c r="H159" i="8"/>
  <c r="H161" i="8" s="1"/>
  <c r="D161" i="8"/>
  <c r="H153" i="8"/>
  <c r="H154" i="8"/>
  <c r="D155" i="8"/>
  <c r="E155" i="8"/>
  <c r="F155" i="8"/>
  <c r="G155" i="8"/>
  <c r="H155" i="8" l="1"/>
  <c r="D202" i="8" l="1"/>
  <c r="D201" i="8"/>
  <c r="E198" i="8"/>
  <c r="D198" i="8"/>
  <c r="E197" i="8"/>
  <c r="D197" i="8"/>
  <c r="H136" i="8" l="1"/>
  <c r="H137" i="8"/>
  <c r="H138" i="8" s="1"/>
  <c r="D138" i="8"/>
  <c r="E138" i="8"/>
  <c r="F138" i="8"/>
  <c r="G138" i="8"/>
  <c r="H132" i="8"/>
  <c r="H133" i="8"/>
  <c r="H134" i="8" s="1"/>
  <c r="D134" i="8"/>
  <c r="E134" i="8"/>
  <c r="F134" i="8"/>
  <c r="G134" i="8"/>
  <c r="H344" i="8" l="1"/>
  <c r="H345" i="8"/>
  <c r="D346" i="8"/>
  <c r="E346" i="8"/>
  <c r="F346" i="8"/>
  <c r="G346" i="8"/>
  <c r="H346" i="8"/>
  <c r="H49" i="8" l="1"/>
  <c r="H51" i="8" s="1"/>
  <c r="H50" i="8"/>
  <c r="D51" i="8"/>
  <c r="E51" i="8"/>
  <c r="F51" i="8"/>
  <c r="G51" i="8"/>
  <c r="H222" i="8" l="1"/>
  <c r="H223" i="8"/>
  <c r="D224" i="8"/>
  <c r="E224" i="8"/>
  <c r="F224" i="8"/>
  <c r="G224" i="8"/>
  <c r="H224" i="8" l="1"/>
  <c r="H280" i="8" l="1"/>
  <c r="H282" i="8" s="1"/>
  <c r="H281" i="8"/>
  <c r="D282" i="8"/>
  <c r="E282" i="8"/>
  <c r="F282" i="8"/>
  <c r="G282" i="8"/>
  <c r="H111" i="8"/>
  <c r="H112" i="8"/>
  <c r="D113" i="8"/>
  <c r="E113" i="8"/>
  <c r="F113" i="8"/>
  <c r="G113" i="8"/>
  <c r="H115" i="8"/>
  <c r="H116" i="8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5" i="11"/>
  <c r="C25" i="11"/>
  <c r="D25" i="11"/>
  <c r="P27" i="9"/>
  <c r="F26" i="12"/>
  <c r="G26" i="12"/>
  <c r="P29" i="9"/>
  <c r="L30" i="9"/>
  <c r="H240" i="8"/>
  <c r="M30" i="9"/>
  <c r="N30" i="9"/>
  <c r="O30" i="9"/>
  <c r="G30" i="9"/>
  <c r="H30" i="9"/>
  <c r="I30" i="9"/>
  <c r="J30" i="9"/>
  <c r="B30" i="9"/>
  <c r="C30" i="9"/>
  <c r="D30" i="9"/>
  <c r="E30" i="9"/>
  <c r="H260" i="8"/>
  <c r="E70" i="9"/>
  <c r="D70" i="9"/>
  <c r="C70" i="9"/>
  <c r="B70" i="9"/>
  <c r="B67" i="9"/>
  <c r="P28" i="9"/>
  <c r="H61" i="9" s="1"/>
  <c r="P26" i="9"/>
  <c r="P25" i="9"/>
  <c r="P24" i="9"/>
  <c r="L57" i="9" s="1"/>
  <c r="B85" i="9" s="1"/>
  <c r="P23" i="9"/>
  <c r="J56" i="9" s="1"/>
  <c r="P22" i="9"/>
  <c r="E55" i="9" s="1"/>
  <c r="P21" i="9"/>
  <c r="I54" i="9" s="1"/>
  <c r="P20" i="9"/>
  <c r="N53" i="9" s="1"/>
  <c r="D81" i="9" s="1"/>
  <c r="P19" i="9"/>
  <c r="E52" i="9" s="1"/>
  <c r="P18" i="9"/>
  <c r="P17" i="9"/>
  <c r="O50" i="9" s="1"/>
  <c r="P16" i="9"/>
  <c r="P15" i="9"/>
  <c r="P14" i="9"/>
  <c r="D47" i="9" s="1"/>
  <c r="P13" i="9"/>
  <c r="H46" i="9" s="1"/>
  <c r="P12" i="9"/>
  <c r="E45" i="9" s="1"/>
  <c r="P11" i="9"/>
  <c r="N44" i="9" s="1"/>
  <c r="D72" i="9" s="1"/>
  <c r="P10" i="9"/>
  <c r="N43" i="9" s="1"/>
  <c r="D71" i="9" s="1"/>
  <c r="G434" i="8"/>
  <c r="F434" i="8"/>
  <c r="E434" i="8"/>
  <c r="D434" i="8"/>
  <c r="G433" i="8"/>
  <c r="F433" i="8"/>
  <c r="E433" i="8"/>
  <c r="D433" i="8"/>
  <c r="G430" i="8"/>
  <c r="F430" i="8"/>
  <c r="E430" i="8"/>
  <c r="D430" i="8"/>
  <c r="G429" i="8"/>
  <c r="F429" i="8"/>
  <c r="E429" i="8"/>
  <c r="D429" i="8"/>
  <c r="G413" i="8"/>
  <c r="F413" i="8"/>
  <c r="E413" i="8"/>
  <c r="D413" i="8"/>
  <c r="H412" i="8"/>
  <c r="G417" i="8" s="1"/>
  <c r="H411" i="8"/>
  <c r="G409" i="8"/>
  <c r="F409" i="8"/>
  <c r="E409" i="8"/>
  <c r="D409" i="8"/>
  <c r="H408" i="8"/>
  <c r="H407" i="8"/>
  <c r="G392" i="8"/>
  <c r="F392" i="8"/>
  <c r="E392" i="8"/>
  <c r="D392" i="8"/>
  <c r="H391" i="8"/>
  <c r="H390" i="8"/>
  <c r="G388" i="8"/>
  <c r="F388" i="8"/>
  <c r="E388" i="8"/>
  <c r="D388" i="8"/>
  <c r="H387" i="8"/>
  <c r="H386" i="8"/>
  <c r="G371" i="8"/>
  <c r="F371" i="8"/>
  <c r="F373" i="8" s="1"/>
  <c r="E371" i="8"/>
  <c r="D371" i="8"/>
  <c r="H370" i="8"/>
  <c r="H369" i="8"/>
  <c r="G350" i="8"/>
  <c r="G352" i="8" s="1"/>
  <c r="F350" i="8"/>
  <c r="E350" i="8"/>
  <c r="D350" i="8"/>
  <c r="D352" i="8" s="1"/>
  <c r="H349" i="8"/>
  <c r="H348" i="8"/>
  <c r="G329" i="8"/>
  <c r="F329" i="8"/>
  <c r="E329" i="8"/>
  <c r="D329" i="8"/>
  <c r="C333" i="8"/>
  <c r="G307" i="8"/>
  <c r="F307" i="8"/>
  <c r="E307" i="8"/>
  <c r="E309" i="8" s="1"/>
  <c r="D307" i="8"/>
  <c r="H306" i="8"/>
  <c r="G311" i="8" s="1"/>
  <c r="H305" i="8"/>
  <c r="C311" i="8" s="1"/>
  <c r="G303" i="8"/>
  <c r="G309" i="8" s="1"/>
  <c r="F303" i="8"/>
  <c r="E303" i="8"/>
  <c r="D303" i="8"/>
  <c r="H302" i="8"/>
  <c r="H301" i="8"/>
  <c r="G286" i="8"/>
  <c r="F286" i="8"/>
  <c r="F288" i="8" s="1"/>
  <c r="E286" i="8"/>
  <c r="E288" i="8" s="1"/>
  <c r="D286" i="8"/>
  <c r="H285" i="8"/>
  <c r="H284" i="8"/>
  <c r="G290" i="8" s="1"/>
  <c r="G266" i="8"/>
  <c r="F266" i="8"/>
  <c r="E266" i="8"/>
  <c r="D266" i="8"/>
  <c r="D268" i="8" s="1"/>
  <c r="H265" i="8"/>
  <c r="H264" i="8"/>
  <c r="G262" i="8"/>
  <c r="G268" i="8"/>
  <c r="F262" i="8"/>
  <c r="F268" i="8" s="1"/>
  <c r="E262" i="8"/>
  <c r="D262" i="8"/>
  <c r="H261" i="8"/>
  <c r="G245" i="8"/>
  <c r="F245" i="8"/>
  <c r="E245" i="8"/>
  <c r="E247" i="8" s="1"/>
  <c r="D245" i="8"/>
  <c r="H244" i="8"/>
  <c r="H243" i="8"/>
  <c r="G241" i="8"/>
  <c r="F241" i="8"/>
  <c r="E241" i="8"/>
  <c r="D241" i="8"/>
  <c r="H239" i="8"/>
  <c r="G220" i="8"/>
  <c r="G226" i="8" s="1"/>
  <c r="F220" i="8"/>
  <c r="E220" i="8"/>
  <c r="E226" i="8" s="1"/>
  <c r="D220" i="8"/>
  <c r="D226" i="8" s="1"/>
  <c r="H219" i="8"/>
  <c r="E228" i="8" s="1"/>
  <c r="H218" i="8"/>
  <c r="G203" i="8"/>
  <c r="F203" i="8"/>
  <c r="E203" i="8"/>
  <c r="E205" i="8" s="1"/>
  <c r="D203" i="8"/>
  <c r="D205" i="8" s="1"/>
  <c r="H202" i="8"/>
  <c r="H201" i="8"/>
  <c r="G199" i="8"/>
  <c r="F199" i="8"/>
  <c r="E199" i="8"/>
  <c r="D199" i="8"/>
  <c r="H198" i="8"/>
  <c r="H197" i="8"/>
  <c r="G181" i="8"/>
  <c r="F181" i="8"/>
  <c r="E181" i="8"/>
  <c r="H180" i="8"/>
  <c r="H181" i="8" s="1"/>
  <c r="H179" i="8"/>
  <c r="G177" i="8"/>
  <c r="F177" i="8"/>
  <c r="E177" i="8"/>
  <c r="D177" i="8"/>
  <c r="H176" i="8"/>
  <c r="H175" i="8"/>
  <c r="G163" i="8"/>
  <c r="C163" i="8"/>
  <c r="D140" i="8"/>
  <c r="F140" i="8"/>
  <c r="C142" i="8"/>
  <c r="G117" i="8"/>
  <c r="F117" i="8"/>
  <c r="E117" i="8"/>
  <c r="D117" i="8"/>
  <c r="G92" i="8"/>
  <c r="F92" i="8"/>
  <c r="F98" i="8" s="1"/>
  <c r="E92" i="8"/>
  <c r="D92" i="8"/>
  <c r="H91" i="8"/>
  <c r="E100" i="8" s="1"/>
  <c r="H90" i="8"/>
  <c r="G75" i="8"/>
  <c r="F75" i="8"/>
  <c r="E75" i="8"/>
  <c r="D75" i="8"/>
  <c r="H74" i="8"/>
  <c r="H73" i="8"/>
  <c r="G71" i="8"/>
  <c r="F71" i="8"/>
  <c r="E71" i="8"/>
  <c r="D71" i="8"/>
  <c r="H70" i="8"/>
  <c r="H69" i="8"/>
  <c r="G55" i="8"/>
  <c r="G57" i="8" s="1"/>
  <c r="F55" i="8"/>
  <c r="E55" i="8"/>
  <c r="E57" i="8" s="1"/>
  <c r="D55" i="8"/>
  <c r="D57" i="8" s="1"/>
  <c r="H54" i="8"/>
  <c r="H53" i="8"/>
  <c r="C59" i="8" s="1"/>
  <c r="G35" i="8"/>
  <c r="G37" i="8" s="1"/>
  <c r="F35" i="8"/>
  <c r="E35" i="8"/>
  <c r="E37" i="8" s="1"/>
  <c r="D35" i="8"/>
  <c r="H34" i="8"/>
  <c r="E39" i="8" s="1"/>
  <c r="H33" i="8"/>
  <c r="G13" i="8"/>
  <c r="F13" i="8"/>
  <c r="E13" i="8"/>
  <c r="D13" i="8"/>
  <c r="H12" i="8"/>
  <c r="H11" i="8"/>
  <c r="G9" i="8"/>
  <c r="G15" i="8" s="1"/>
  <c r="F9" i="8"/>
  <c r="E9" i="8"/>
  <c r="D9" i="8"/>
  <c r="D15" i="8" s="1"/>
  <c r="H8" i="8"/>
  <c r="H7" i="8"/>
  <c r="D394" i="8"/>
  <c r="D288" i="8"/>
  <c r="H203" i="8"/>
  <c r="G140" i="8"/>
  <c r="G373" i="8"/>
  <c r="G98" i="8"/>
  <c r="G119" i="8"/>
  <c r="F309" i="8"/>
  <c r="H350" i="8"/>
  <c r="H392" i="8"/>
  <c r="J49" i="9"/>
  <c r="L49" i="9"/>
  <c r="B77" i="9" s="1"/>
  <c r="F352" i="8"/>
  <c r="I62" i="9"/>
  <c r="L62" i="9"/>
  <c r="B90" i="9" s="1"/>
  <c r="B47" i="9"/>
  <c r="L47" i="9"/>
  <c r="B75" i="9" s="1"/>
  <c r="D58" i="9"/>
  <c r="L58" i="9"/>
  <c r="B86" i="9" s="1"/>
  <c r="G288" i="8"/>
  <c r="E354" i="8"/>
  <c r="H51" i="9"/>
  <c r="L51" i="9"/>
  <c r="B79" i="9" s="1"/>
  <c r="G51" i="9"/>
  <c r="H59" i="9"/>
  <c r="L59" i="9"/>
  <c r="B87" i="9" s="1"/>
  <c r="G247" i="8"/>
  <c r="B60" i="9"/>
  <c r="L60" i="9"/>
  <c r="B88" i="9" s="1"/>
  <c r="I48" i="9"/>
  <c r="L48" i="9"/>
  <c r="B76" i="9" s="1"/>
  <c r="E352" i="8"/>
  <c r="L53" i="9"/>
  <c r="B81" i="9" s="1"/>
  <c r="M62" i="9"/>
  <c r="C90" i="9" s="1"/>
  <c r="O62" i="9"/>
  <c r="E394" i="8"/>
  <c r="F394" i="8"/>
  <c r="M50" i="9"/>
  <c r="C78" i="9" s="1"/>
  <c r="N50" i="9"/>
  <c r="D78" i="9" s="1"/>
  <c r="G50" i="9"/>
  <c r="D373" i="8"/>
  <c r="G375" i="8"/>
  <c r="C375" i="8"/>
  <c r="G354" i="8"/>
  <c r="D331" i="8"/>
  <c r="I59" i="9"/>
  <c r="M59" i="9"/>
  <c r="C87" i="9" s="1"/>
  <c r="N59" i="9"/>
  <c r="D87" i="9" s="1"/>
  <c r="E290" i="8"/>
  <c r="C290" i="8"/>
  <c r="E270" i="8"/>
  <c r="H266" i="8"/>
  <c r="E249" i="8"/>
  <c r="F226" i="8"/>
  <c r="N48" i="9"/>
  <c r="D76" i="9" s="1"/>
  <c r="O48" i="9"/>
  <c r="M58" i="9"/>
  <c r="C86" i="9" s="1"/>
  <c r="N58" i="9"/>
  <c r="D86" i="9" s="1"/>
  <c r="O58" i="9"/>
  <c r="G58" i="9"/>
  <c r="E163" i="8"/>
  <c r="O49" i="9"/>
  <c r="E142" i="8"/>
  <c r="E140" i="8"/>
  <c r="E121" i="8"/>
  <c r="F119" i="8"/>
  <c r="G121" i="8"/>
  <c r="C121" i="8"/>
  <c r="E79" i="8"/>
  <c r="G77" i="8"/>
  <c r="E59" i="8"/>
  <c r="F57" i="8"/>
  <c r="B49" i="9"/>
  <c r="D60" i="9"/>
  <c r="C49" i="9"/>
  <c r="N60" i="9"/>
  <c r="D88" i="9" s="1"/>
  <c r="O59" i="9"/>
  <c r="M49" i="9"/>
  <c r="C77" i="9" s="1"/>
  <c r="B54" i="9"/>
  <c r="B62" i="9"/>
  <c r="C60" i="9"/>
  <c r="N49" i="9"/>
  <c r="D77" i="9" s="1"/>
  <c r="E58" i="9"/>
  <c r="J62" i="9"/>
  <c r="M51" i="9"/>
  <c r="C79" i="9" s="1"/>
  <c r="N51" i="9"/>
  <c r="D79" i="9" s="1"/>
  <c r="M60" i="9"/>
  <c r="C88" i="9" s="1"/>
  <c r="I51" i="9"/>
  <c r="M48" i="9"/>
  <c r="C76" i="9" s="1"/>
  <c r="O51" i="9"/>
  <c r="O60" i="9"/>
  <c r="N62" i="9"/>
  <c r="D90" i="9" s="1"/>
  <c r="C47" i="9"/>
  <c r="J51" i="9"/>
  <c r="J59" i="9"/>
  <c r="J48" i="9"/>
  <c r="D49" i="9"/>
  <c r="H50" i="9"/>
  <c r="B51" i="9"/>
  <c r="C54" i="9"/>
  <c r="H58" i="9"/>
  <c r="B59" i="9"/>
  <c r="E60" i="9"/>
  <c r="C62" i="9"/>
  <c r="B48" i="9"/>
  <c r="E49" i="9"/>
  <c r="I50" i="9"/>
  <c r="C51" i="9"/>
  <c r="I58" i="9"/>
  <c r="C59" i="9"/>
  <c r="G60" i="9"/>
  <c r="D62" i="9"/>
  <c r="C48" i="9"/>
  <c r="G49" i="9"/>
  <c r="J50" i="9"/>
  <c r="D51" i="9"/>
  <c r="J58" i="9"/>
  <c r="D59" i="9"/>
  <c r="H60" i="9"/>
  <c r="E62" i="9"/>
  <c r="D46" i="9"/>
  <c r="D48" i="9"/>
  <c r="H49" i="9"/>
  <c r="B50" i="9"/>
  <c r="E51" i="9"/>
  <c r="B58" i="9"/>
  <c r="E59" i="9"/>
  <c r="I60" i="9"/>
  <c r="G62" i="9"/>
  <c r="E48" i="9"/>
  <c r="I49" i="9"/>
  <c r="C50" i="9"/>
  <c r="H54" i="9"/>
  <c r="C58" i="9"/>
  <c r="G59" i="9"/>
  <c r="J60" i="9"/>
  <c r="H62" i="9"/>
  <c r="G48" i="9"/>
  <c r="H48" i="9"/>
  <c r="H55" i="8"/>
  <c r="H57" i="8" s="1"/>
  <c r="G142" i="8"/>
  <c r="G59" i="8"/>
  <c r="D37" i="8"/>
  <c r="D119" i="8"/>
  <c r="E207" i="8"/>
  <c r="G228" i="8"/>
  <c r="H220" i="8"/>
  <c r="C228" i="8"/>
  <c r="E119" i="8"/>
  <c r="C249" i="8"/>
  <c r="H245" i="8"/>
  <c r="G207" i="8"/>
  <c r="G249" i="8"/>
  <c r="H35" i="8"/>
  <c r="H75" i="8"/>
  <c r="H77" i="8" s="1"/>
  <c r="H117" i="8"/>
  <c r="M153" i="8"/>
  <c r="H9" i="8"/>
  <c r="H71" i="8"/>
  <c r="E268" i="8"/>
  <c r="H199" i="8"/>
  <c r="H241" i="8"/>
  <c r="H409" i="8"/>
  <c r="C270" i="8"/>
  <c r="C354" i="8"/>
  <c r="C396" i="8"/>
  <c r="H262" i="8"/>
  <c r="H268" i="8" s="1"/>
  <c r="P264" i="8" s="1"/>
  <c r="H303" i="8"/>
  <c r="H388" i="8"/>
  <c r="H286" i="8"/>
  <c r="H329" i="8"/>
  <c r="H371" i="8"/>
  <c r="H373" i="8" s="1"/>
  <c r="H394" i="8"/>
  <c r="O390" i="8" s="1"/>
  <c r="H352" i="8"/>
  <c r="P349" i="8" s="1"/>
  <c r="H226" i="8"/>
  <c r="N219" i="8" s="1"/>
  <c r="M390" i="8"/>
  <c r="N386" i="8"/>
  <c r="N387" i="8"/>
  <c r="O391" i="8"/>
  <c r="P387" i="8"/>
  <c r="P390" i="8"/>
  <c r="P392" i="8" s="1"/>
  <c r="O386" i="8"/>
  <c r="P391" i="8"/>
  <c r="M387" i="8"/>
  <c r="N349" i="8"/>
  <c r="M345" i="8"/>
  <c r="B55" i="9"/>
  <c r="M55" i="9"/>
  <c r="C83" i="9" s="1"/>
  <c r="H57" i="9"/>
  <c r="G55" i="9"/>
  <c r="N55" i="9"/>
  <c r="D83" i="9" s="1"/>
  <c r="D55" i="9"/>
  <c r="J55" i="9"/>
  <c r="O55" i="9"/>
  <c r="L55" i="9"/>
  <c r="B83" i="9"/>
  <c r="O57" i="9"/>
  <c r="C55" i="9"/>
  <c r="H55" i="9"/>
  <c r="I57" i="9"/>
  <c r="I55" i="9"/>
  <c r="D57" i="9"/>
  <c r="M57" i="9"/>
  <c r="C85" i="9" s="1"/>
  <c r="G270" i="8"/>
  <c r="P265" i="8"/>
  <c r="N261" i="8"/>
  <c r="M260" i="8"/>
  <c r="O265" i="8"/>
  <c r="P261" i="8"/>
  <c r="O260" i="8"/>
  <c r="P260" i="8"/>
  <c r="N260" i="8"/>
  <c r="O261" i="8"/>
  <c r="O262" i="8" s="1"/>
  <c r="N264" i="8"/>
  <c r="D53" i="9" l="1"/>
  <c r="G54" i="9"/>
  <c r="P54" i="9" s="1"/>
  <c r="J54" i="9"/>
  <c r="N61" i="9"/>
  <c r="D89" i="9" s="1"/>
  <c r="H53" i="9"/>
  <c r="E53" i="9"/>
  <c r="O54" i="9"/>
  <c r="N54" i="9"/>
  <c r="D82" i="9" s="1"/>
  <c r="E54" i="9"/>
  <c r="I61" i="9"/>
  <c r="D54" i="9"/>
  <c r="L54" i="9"/>
  <c r="B82" i="9" s="1"/>
  <c r="J53" i="9"/>
  <c r="M54" i="9"/>
  <c r="C82" i="9" s="1"/>
  <c r="B61" i="9"/>
  <c r="P62" i="9"/>
  <c r="C53" i="9"/>
  <c r="G52" i="9"/>
  <c r="D52" i="9"/>
  <c r="M52" i="9"/>
  <c r="C80" i="9" s="1"/>
  <c r="G61" i="9"/>
  <c r="D61" i="9"/>
  <c r="G53" i="9"/>
  <c r="J61" i="9"/>
  <c r="N52" i="9"/>
  <c r="D80" i="9" s="1"/>
  <c r="O53" i="9"/>
  <c r="C61" i="9"/>
  <c r="I53" i="9"/>
  <c r="M53" i="9"/>
  <c r="C81" i="9" s="1"/>
  <c r="M45" i="9"/>
  <c r="C73" i="9" s="1"/>
  <c r="B53" i="9"/>
  <c r="P53" i="9" s="1"/>
  <c r="M61" i="9"/>
  <c r="C89" i="9" s="1"/>
  <c r="L61" i="9"/>
  <c r="B89" i="9" s="1"/>
  <c r="O61" i="9"/>
  <c r="E61" i="9"/>
  <c r="B52" i="9"/>
  <c r="E44" i="9"/>
  <c r="G44" i="9"/>
  <c r="B44" i="9"/>
  <c r="M44" i="9"/>
  <c r="C72" i="9" s="1"/>
  <c r="E57" i="9"/>
  <c r="J57" i="9"/>
  <c r="G57" i="9"/>
  <c r="C57" i="9"/>
  <c r="B57" i="9"/>
  <c r="D309" i="8"/>
  <c r="H307" i="8"/>
  <c r="H309" i="8" s="1"/>
  <c r="P305" i="8" s="1"/>
  <c r="O306" i="8"/>
  <c r="G100" i="8"/>
  <c r="D98" i="8"/>
  <c r="H92" i="8"/>
  <c r="P51" i="9"/>
  <c r="D247" i="8"/>
  <c r="F247" i="8"/>
  <c r="L50" i="9"/>
  <c r="B78" i="9" s="1"/>
  <c r="D50" i="9"/>
  <c r="E50" i="9"/>
  <c r="N366" i="8"/>
  <c r="N370" i="8"/>
  <c r="O366" i="8"/>
  <c r="P60" i="9"/>
  <c r="F37" i="8"/>
  <c r="C39" i="8"/>
  <c r="C45" i="9"/>
  <c r="L45" i="9"/>
  <c r="B73" i="9" s="1"/>
  <c r="J45" i="9"/>
  <c r="N45" i="9"/>
  <c r="D73" i="9" s="1"/>
  <c r="B45" i="9"/>
  <c r="I45" i="9"/>
  <c r="H45" i="9"/>
  <c r="G45" i="9"/>
  <c r="D45" i="9"/>
  <c r="E333" i="8"/>
  <c r="F331" i="8"/>
  <c r="G331" i="8"/>
  <c r="E331" i="8"/>
  <c r="G333" i="8"/>
  <c r="P58" i="9"/>
  <c r="G431" i="8"/>
  <c r="M157" i="8"/>
  <c r="N154" i="8"/>
  <c r="O158" i="8"/>
  <c r="N157" i="8"/>
  <c r="E185" i="8"/>
  <c r="D183" i="8"/>
  <c r="C44" i="9"/>
  <c r="H44" i="9"/>
  <c r="I44" i="9"/>
  <c r="D44" i="9"/>
  <c r="J44" i="9"/>
  <c r="L44" i="9"/>
  <c r="B72" i="9" s="1"/>
  <c r="F183" i="8"/>
  <c r="E183" i="8"/>
  <c r="G183" i="8"/>
  <c r="G185" i="8"/>
  <c r="C185" i="8"/>
  <c r="H177" i="8"/>
  <c r="H183" i="8" s="1"/>
  <c r="E46" i="9"/>
  <c r="L46" i="9"/>
  <c r="B74" i="9" s="1"/>
  <c r="J46" i="9"/>
  <c r="I46" i="9"/>
  <c r="G46" i="9"/>
  <c r="B46" i="9"/>
  <c r="N46" i="9"/>
  <c r="D74" i="9" s="1"/>
  <c r="C46" i="9"/>
  <c r="M46" i="9"/>
  <c r="C74" i="9" s="1"/>
  <c r="F415" i="8"/>
  <c r="G415" i="8"/>
  <c r="H413" i="8"/>
  <c r="H415" i="8"/>
  <c r="N408" i="8" s="1"/>
  <c r="C417" i="8"/>
  <c r="O407" i="8"/>
  <c r="M412" i="8"/>
  <c r="M407" i="8"/>
  <c r="M408" i="8"/>
  <c r="O412" i="8"/>
  <c r="P412" i="8"/>
  <c r="M411" i="8"/>
  <c r="P408" i="8"/>
  <c r="P407" i="8"/>
  <c r="N412" i="8"/>
  <c r="H247" i="8"/>
  <c r="P240" i="8" s="1"/>
  <c r="P48" i="9"/>
  <c r="H113" i="8"/>
  <c r="H119" i="8" s="1"/>
  <c r="P111" i="8" s="1"/>
  <c r="P113" i="8" s="1"/>
  <c r="E98" i="8"/>
  <c r="D415" i="8"/>
  <c r="C79" i="8"/>
  <c r="E375" i="8"/>
  <c r="E373" i="8"/>
  <c r="G394" i="8"/>
  <c r="E417" i="8"/>
  <c r="E415" i="8"/>
  <c r="G39" i="8"/>
  <c r="E311" i="8"/>
  <c r="P262" i="8"/>
  <c r="N305" i="8"/>
  <c r="O301" i="8"/>
  <c r="O303" i="8" s="1"/>
  <c r="M261" i="8"/>
  <c r="M262" i="8" s="1"/>
  <c r="O264" i="8"/>
  <c r="O266" i="8" s="1"/>
  <c r="O268" i="8" s="1"/>
  <c r="M158" i="8"/>
  <c r="P157" i="8"/>
  <c r="N391" i="8"/>
  <c r="O387" i="8"/>
  <c r="O388" i="8" s="1"/>
  <c r="O394" i="8" s="1"/>
  <c r="O302" i="8"/>
  <c r="N301" i="8"/>
  <c r="E17" i="8"/>
  <c r="G79" i="8"/>
  <c r="E77" i="8"/>
  <c r="G396" i="8"/>
  <c r="M301" i="8"/>
  <c r="O157" i="8"/>
  <c r="P266" i="8"/>
  <c r="M264" i="8"/>
  <c r="M265" i="8"/>
  <c r="Q265" i="8" s="1"/>
  <c r="O370" i="8"/>
  <c r="P158" i="8"/>
  <c r="P154" i="8"/>
  <c r="M386" i="8"/>
  <c r="M388" i="8" s="1"/>
  <c r="P386" i="8"/>
  <c r="P388" i="8" s="1"/>
  <c r="P394" i="8" s="1"/>
  <c r="M306" i="8"/>
  <c r="P345" i="8"/>
  <c r="H98" i="8"/>
  <c r="P91" i="8" s="1"/>
  <c r="P59" i="9"/>
  <c r="D77" i="8"/>
  <c r="C100" i="8"/>
  <c r="G205" i="8"/>
  <c r="E396" i="8"/>
  <c r="H288" i="8"/>
  <c r="N158" i="8"/>
  <c r="M302" i="8"/>
  <c r="Q261" i="8"/>
  <c r="Q260" i="8"/>
  <c r="O154" i="8"/>
  <c r="M305" i="8"/>
  <c r="N265" i="8"/>
  <c r="N266" i="8" s="1"/>
  <c r="P55" i="9"/>
  <c r="M365" i="8"/>
  <c r="P153" i="8"/>
  <c r="N153" i="8"/>
  <c r="N155" i="8" s="1"/>
  <c r="M391" i="8"/>
  <c r="M392" i="8" s="1"/>
  <c r="N390" i="8"/>
  <c r="N392" i="8" s="1"/>
  <c r="O153" i="8"/>
  <c r="P306" i="8"/>
  <c r="P307" i="8" s="1"/>
  <c r="M154" i="8"/>
  <c r="H331" i="8"/>
  <c r="O323" i="8" s="1"/>
  <c r="H37" i="8"/>
  <c r="P34" i="8" s="1"/>
  <c r="C207" i="8"/>
  <c r="F205" i="8"/>
  <c r="H205" i="8"/>
  <c r="N197" i="8" s="1"/>
  <c r="P49" i="9"/>
  <c r="H434" i="8"/>
  <c r="H430" i="8"/>
  <c r="L43" i="9"/>
  <c r="B71" i="9" s="1"/>
  <c r="D43" i="9"/>
  <c r="B31" i="9"/>
  <c r="B43" i="9"/>
  <c r="G43" i="9"/>
  <c r="J43" i="9"/>
  <c r="H43" i="9"/>
  <c r="E43" i="9"/>
  <c r="M43" i="9"/>
  <c r="C71" i="9" s="1"/>
  <c r="I43" i="9"/>
  <c r="C43" i="9"/>
  <c r="O348" i="8"/>
  <c r="O344" i="8"/>
  <c r="M344" i="8"/>
  <c r="M346" i="8" s="1"/>
  <c r="P348" i="8"/>
  <c r="P350" i="8" s="1"/>
  <c r="N348" i="8"/>
  <c r="N350" i="8" s="1"/>
  <c r="O349" i="8"/>
  <c r="M348" i="8"/>
  <c r="F431" i="8"/>
  <c r="N345" i="8"/>
  <c r="M349" i="8"/>
  <c r="Q349" i="8" s="1"/>
  <c r="G31" i="9"/>
  <c r="O56" i="9"/>
  <c r="N56" i="9"/>
  <c r="D84" i="9" s="1"/>
  <c r="G56" i="9"/>
  <c r="E56" i="9"/>
  <c r="D56" i="9"/>
  <c r="C56" i="9"/>
  <c r="M56" i="9"/>
  <c r="C84" i="9" s="1"/>
  <c r="L56" i="9"/>
  <c r="B84" i="9" s="1"/>
  <c r="H56" i="9"/>
  <c r="B56" i="9"/>
  <c r="I56" i="9"/>
  <c r="E435" i="8"/>
  <c r="P54" i="8"/>
  <c r="O53" i="8"/>
  <c r="E431" i="8"/>
  <c r="N49" i="8"/>
  <c r="N53" i="8"/>
  <c r="N55" i="8" s="1"/>
  <c r="M53" i="8"/>
  <c r="N50" i="8"/>
  <c r="M49" i="8"/>
  <c r="O54" i="8"/>
  <c r="P50" i="8"/>
  <c r="N54" i="8"/>
  <c r="P49" i="8"/>
  <c r="P53" i="8"/>
  <c r="P55" i="8" s="1"/>
  <c r="H13" i="8"/>
  <c r="H15" i="8" s="1"/>
  <c r="O12" i="8" s="1"/>
  <c r="F435" i="8"/>
  <c r="O7" i="8"/>
  <c r="G17" i="8"/>
  <c r="C17" i="8"/>
  <c r="D431" i="8"/>
  <c r="P12" i="8"/>
  <c r="P11" i="8"/>
  <c r="M12" i="8"/>
  <c r="E15" i="8"/>
  <c r="F15" i="8"/>
  <c r="P268" i="8"/>
  <c r="Q262" i="8"/>
  <c r="N262" i="8"/>
  <c r="Q391" i="8"/>
  <c r="O197" i="8"/>
  <c r="P112" i="8"/>
  <c r="M112" i="8"/>
  <c r="N112" i="8"/>
  <c r="M115" i="8"/>
  <c r="O115" i="8"/>
  <c r="N115" i="8"/>
  <c r="O111" i="8"/>
  <c r="Q387" i="8"/>
  <c r="N396" i="8" s="1"/>
  <c r="O392" i="8"/>
  <c r="Q390" i="8"/>
  <c r="Q392" i="8" s="1"/>
  <c r="O369" i="8"/>
  <c r="O371" i="8" s="1"/>
  <c r="M369" i="8"/>
  <c r="P365" i="8"/>
  <c r="P367" i="8" s="1"/>
  <c r="P370" i="8"/>
  <c r="O365" i="8"/>
  <c r="O367" i="8" s="1"/>
  <c r="N369" i="8"/>
  <c r="N371" i="8" s="1"/>
  <c r="N365" i="8"/>
  <c r="N367" i="8" s="1"/>
  <c r="M366" i="8"/>
  <c r="M155" i="8"/>
  <c r="N388" i="8"/>
  <c r="P366" i="8"/>
  <c r="N284" i="8"/>
  <c r="P369" i="8"/>
  <c r="P285" i="8"/>
  <c r="O94" i="8"/>
  <c r="M327" i="8"/>
  <c r="M324" i="8"/>
  <c r="M370" i="8"/>
  <c r="P201" i="8"/>
  <c r="M202" i="8"/>
  <c r="M201" i="8"/>
  <c r="M198" i="8"/>
  <c r="O198" i="8"/>
  <c r="P197" i="8"/>
  <c r="O202" i="8"/>
  <c r="N201" i="8"/>
  <c r="N202" i="8"/>
  <c r="P281" i="8"/>
  <c r="M284" i="8"/>
  <c r="N285" i="8"/>
  <c r="O281" i="8"/>
  <c r="M285" i="8"/>
  <c r="M280" i="8"/>
  <c r="P280" i="8"/>
  <c r="P282" i="8" s="1"/>
  <c r="P288" i="8" s="1"/>
  <c r="P284" i="8"/>
  <c r="P286" i="8" s="1"/>
  <c r="N281" i="8"/>
  <c r="O280" i="8"/>
  <c r="P202" i="8"/>
  <c r="N91" i="8"/>
  <c r="M95" i="8"/>
  <c r="N95" i="8"/>
  <c r="O95" i="8"/>
  <c r="M54" i="8"/>
  <c r="Q54" i="8" s="1"/>
  <c r="O50" i="8"/>
  <c r="O345" i="8"/>
  <c r="N7" i="8"/>
  <c r="O8" i="8"/>
  <c r="O9" i="8" s="1"/>
  <c r="N306" i="8"/>
  <c r="P302" i="8"/>
  <c r="P344" i="8"/>
  <c r="P346" i="8" s="1"/>
  <c r="P352" i="8" s="1"/>
  <c r="O49" i="8"/>
  <c r="N344" i="8"/>
  <c r="N346" i="8" s="1"/>
  <c r="O305" i="8"/>
  <c r="H429" i="8"/>
  <c r="H433" i="8"/>
  <c r="N57" i="9"/>
  <c r="D85" i="9" s="1"/>
  <c r="N12" i="8"/>
  <c r="M50" i="8"/>
  <c r="M11" i="8"/>
  <c r="M7" i="8"/>
  <c r="P301" i="8"/>
  <c r="P303" i="8" s="1"/>
  <c r="N11" i="8"/>
  <c r="F77" i="8"/>
  <c r="H140" i="8"/>
  <c r="P8" i="8"/>
  <c r="M8" i="8"/>
  <c r="E25" i="11"/>
  <c r="I47" i="9"/>
  <c r="G47" i="9"/>
  <c r="P30" i="9"/>
  <c r="N63" i="9" s="1"/>
  <c r="D91" i="9" s="1"/>
  <c r="N47" i="9"/>
  <c r="D75" i="9" s="1"/>
  <c r="H47" i="9"/>
  <c r="E47" i="9"/>
  <c r="M47" i="9"/>
  <c r="C75" i="9" s="1"/>
  <c r="J47" i="9"/>
  <c r="P219" i="8"/>
  <c r="O222" i="8"/>
  <c r="O223" i="8"/>
  <c r="O218" i="8"/>
  <c r="M218" i="8"/>
  <c r="P218" i="8"/>
  <c r="P220" i="8" s="1"/>
  <c r="M222" i="8"/>
  <c r="P223" i="8"/>
  <c r="N218" i="8"/>
  <c r="N220" i="8" s="1"/>
  <c r="M219" i="8"/>
  <c r="N223" i="8"/>
  <c r="O219" i="8"/>
  <c r="M223" i="8"/>
  <c r="P222" i="8"/>
  <c r="N222" i="8"/>
  <c r="F25" i="11"/>
  <c r="C52" i="9"/>
  <c r="I52" i="9"/>
  <c r="L52" i="9"/>
  <c r="B80" i="9" s="1"/>
  <c r="O52" i="9"/>
  <c r="J52" i="9"/>
  <c r="H52" i="9"/>
  <c r="G435" i="8"/>
  <c r="D435" i="8"/>
  <c r="P69" i="8"/>
  <c r="O70" i="8"/>
  <c r="O74" i="8"/>
  <c r="O69" i="8"/>
  <c r="N70" i="8"/>
  <c r="P70" i="8"/>
  <c r="M69" i="8"/>
  <c r="P73" i="8"/>
  <c r="N74" i="8"/>
  <c r="M70" i="8"/>
  <c r="M74" i="8"/>
  <c r="N69" i="8"/>
  <c r="P74" i="8"/>
  <c r="O73" i="8"/>
  <c r="N73" i="8"/>
  <c r="M73" i="8"/>
  <c r="P61" i="9" l="1"/>
  <c r="P46" i="9"/>
  <c r="P45" i="9"/>
  <c r="P57" i="9"/>
  <c r="N302" i="8"/>
  <c r="N303" i="8" s="1"/>
  <c r="N309" i="8" s="1"/>
  <c r="Q306" i="8"/>
  <c r="N307" i="8"/>
  <c r="Q302" i="8"/>
  <c r="P309" i="8"/>
  <c r="O307" i="8"/>
  <c r="O309" i="8" s="1"/>
  <c r="O91" i="8"/>
  <c r="P90" i="8"/>
  <c r="P92" i="8" s="1"/>
  <c r="O96" i="8"/>
  <c r="P94" i="8"/>
  <c r="M91" i="8"/>
  <c r="Q91" i="8" s="1"/>
  <c r="M94" i="8"/>
  <c r="P95" i="8"/>
  <c r="Q95" i="8" s="1"/>
  <c r="N94" i="8"/>
  <c r="N96" i="8" s="1"/>
  <c r="P244" i="8"/>
  <c r="P239" i="8"/>
  <c r="P241" i="8" s="1"/>
  <c r="N244" i="8"/>
  <c r="M239" i="8"/>
  <c r="N239" i="8"/>
  <c r="M244" i="8"/>
  <c r="Q244" i="8" s="1"/>
  <c r="O244" i="8"/>
  <c r="P50" i="9"/>
  <c r="G437" i="8"/>
  <c r="Q365" i="8"/>
  <c r="Q366" i="8"/>
  <c r="N373" i="8"/>
  <c r="Q370" i="8"/>
  <c r="P371" i="8"/>
  <c r="P373" i="8" s="1"/>
  <c r="O373" i="8"/>
  <c r="N34" i="8"/>
  <c r="M34" i="8"/>
  <c r="M33" i="8"/>
  <c r="M35" i="8" s="1"/>
  <c r="O33" i="8"/>
  <c r="N29" i="8"/>
  <c r="O34" i="8"/>
  <c r="Q34" i="8" s="1"/>
  <c r="P30" i="8"/>
  <c r="P327" i="8"/>
  <c r="N327" i="8"/>
  <c r="P328" i="8"/>
  <c r="P323" i="8"/>
  <c r="N324" i="8"/>
  <c r="P329" i="8"/>
  <c r="Q158" i="8"/>
  <c r="O159" i="8"/>
  <c r="Q153" i="8"/>
  <c r="M159" i="8"/>
  <c r="M161" i="8" s="1"/>
  <c r="O155" i="8"/>
  <c r="O161" i="8" s="1"/>
  <c r="P159" i="8"/>
  <c r="P155" i="8"/>
  <c r="Q157" i="8"/>
  <c r="Q159" i="8" s="1"/>
  <c r="N159" i="8"/>
  <c r="N161" i="8" s="1"/>
  <c r="Q154" i="8"/>
  <c r="N163" i="8" s="1"/>
  <c r="N179" i="8"/>
  <c r="O179" i="8"/>
  <c r="N180" i="8"/>
  <c r="P44" i="9"/>
  <c r="O176" i="8"/>
  <c r="P180" i="8"/>
  <c r="P175" i="8"/>
  <c r="M175" i="8"/>
  <c r="O180" i="8"/>
  <c r="P179" i="8"/>
  <c r="E439" i="8"/>
  <c r="M179" i="8"/>
  <c r="M176" i="8"/>
  <c r="O175" i="8"/>
  <c r="O411" i="8"/>
  <c r="P411" i="8"/>
  <c r="P413" i="8" s="1"/>
  <c r="N411" i="8"/>
  <c r="N413" i="8" s="1"/>
  <c r="O408" i="8"/>
  <c r="N407" i="8"/>
  <c r="N409" i="8" s="1"/>
  <c r="N415" i="8" s="1"/>
  <c r="Q407" i="8"/>
  <c r="Q412" i="8"/>
  <c r="O413" i="8"/>
  <c r="O409" i="8"/>
  <c r="P409" i="8"/>
  <c r="P415" i="8" s="1"/>
  <c r="Q408" i="8"/>
  <c r="M409" i="8"/>
  <c r="P270" i="8"/>
  <c r="O201" i="8"/>
  <c r="O203" i="8" s="1"/>
  <c r="Q386" i="8"/>
  <c r="M367" i="8"/>
  <c r="P7" i="8"/>
  <c r="O29" i="8"/>
  <c r="M29" i="8"/>
  <c r="N33" i="8"/>
  <c r="N35" i="8" s="1"/>
  <c r="N30" i="8"/>
  <c r="M30" i="8"/>
  <c r="P29" i="8"/>
  <c r="P31" i="8" s="1"/>
  <c r="P33" i="8"/>
  <c r="P35" i="8" s="1"/>
  <c r="O30" i="8"/>
  <c r="N268" i="8"/>
  <c r="P56" i="9"/>
  <c r="O324" i="8"/>
  <c r="M323" i="8"/>
  <c r="N328" i="8"/>
  <c r="M328" i="8"/>
  <c r="O328" i="8"/>
  <c r="P324" i="8"/>
  <c r="M90" i="8"/>
  <c r="O90" i="8"/>
  <c r="O92" i="8" s="1"/>
  <c r="O98" i="8" s="1"/>
  <c r="N90" i="8"/>
  <c r="N92" i="8" s="1"/>
  <c r="N98" i="8" s="1"/>
  <c r="N175" i="8"/>
  <c r="M180" i="8"/>
  <c r="N176" i="8"/>
  <c r="P176" i="8"/>
  <c r="O112" i="8"/>
  <c r="O116" i="8"/>
  <c r="M116" i="8"/>
  <c r="N111" i="8"/>
  <c r="N113" i="8" s="1"/>
  <c r="N119" i="8" s="1"/>
  <c r="N116" i="8"/>
  <c r="M111" i="8"/>
  <c r="M113" i="8" s="1"/>
  <c r="N71" i="8"/>
  <c r="P203" i="8"/>
  <c r="Q112" i="8"/>
  <c r="N8" i="8"/>
  <c r="N9" i="8" s="1"/>
  <c r="N15" i="8" s="1"/>
  <c r="O11" i="8"/>
  <c r="O13" i="8" s="1"/>
  <c r="O284" i="8"/>
  <c r="N280" i="8"/>
  <c r="N282" i="8" s="1"/>
  <c r="O285" i="8"/>
  <c r="M281" i="8"/>
  <c r="M282" i="8" s="1"/>
  <c r="M266" i="8"/>
  <c r="M268" i="8" s="1"/>
  <c r="Q264" i="8"/>
  <c r="M413" i="8"/>
  <c r="M197" i="8"/>
  <c r="N198" i="8"/>
  <c r="N199" i="8" s="1"/>
  <c r="N323" i="8"/>
  <c r="O327" i="8"/>
  <c r="N394" i="8"/>
  <c r="P115" i="8"/>
  <c r="P116" i="8"/>
  <c r="Q116" i="8" s="1"/>
  <c r="P198" i="8"/>
  <c r="M307" i="8"/>
  <c r="Q305" i="8"/>
  <c r="M240" i="8"/>
  <c r="P243" i="8"/>
  <c r="O243" i="8"/>
  <c r="O240" i="8"/>
  <c r="M243" i="8"/>
  <c r="O239" i="8"/>
  <c r="O241" i="8" s="1"/>
  <c r="N243" i="8"/>
  <c r="N245" i="8" s="1"/>
  <c r="N240" i="8"/>
  <c r="P199" i="8"/>
  <c r="O113" i="8"/>
  <c r="M394" i="8"/>
  <c r="N117" i="8"/>
  <c r="M303" i="8"/>
  <c r="Q301" i="8"/>
  <c r="O282" i="8"/>
  <c r="O117" i="8"/>
  <c r="O119" i="8" s="1"/>
  <c r="Q348" i="8"/>
  <c r="Q350" i="8" s="1"/>
  <c r="N270" i="8"/>
  <c r="L31" i="9"/>
  <c r="Q202" i="8"/>
  <c r="N203" i="8"/>
  <c r="N205" i="8" s="1"/>
  <c r="O199" i="8"/>
  <c r="O205" i="8" s="1"/>
  <c r="P205" i="8"/>
  <c r="H435" i="8"/>
  <c r="F437" i="8"/>
  <c r="E437" i="8"/>
  <c r="P43" i="9"/>
  <c r="N352" i="8"/>
  <c r="O346" i="8"/>
  <c r="O350" i="8"/>
  <c r="Q345" i="8"/>
  <c r="N354" i="8" s="1"/>
  <c r="M350" i="8"/>
  <c r="M352" i="8" s="1"/>
  <c r="Q344" i="8"/>
  <c r="M51" i="8"/>
  <c r="O55" i="8"/>
  <c r="Q50" i="8"/>
  <c r="N59" i="8" s="1"/>
  <c r="O51" i="8"/>
  <c r="O57" i="8" s="1"/>
  <c r="M55" i="8"/>
  <c r="Q53" i="8"/>
  <c r="Q55" i="8" s="1"/>
  <c r="Q49" i="8"/>
  <c r="L59" i="8" s="1"/>
  <c r="P51" i="8"/>
  <c r="P57" i="8" s="1"/>
  <c r="N51" i="8"/>
  <c r="N57" i="8" s="1"/>
  <c r="M63" i="9"/>
  <c r="C91" i="9" s="1"/>
  <c r="G63" i="9"/>
  <c r="P9" i="8"/>
  <c r="C439" i="8"/>
  <c r="O15" i="8"/>
  <c r="D437" i="8"/>
  <c r="N13" i="8"/>
  <c r="H431" i="8"/>
  <c r="Q12" i="8"/>
  <c r="P13" i="8"/>
  <c r="M13" i="8"/>
  <c r="Q11" i="8"/>
  <c r="Q280" i="8"/>
  <c r="Q70" i="8"/>
  <c r="P52" i="9"/>
  <c r="O63" i="9"/>
  <c r="Q111" i="8"/>
  <c r="N286" i="8"/>
  <c r="M286" i="8"/>
  <c r="Q284" i="8"/>
  <c r="G439" i="8"/>
  <c r="Q327" i="8"/>
  <c r="E63" i="9"/>
  <c r="H63" i="9"/>
  <c r="C63" i="9"/>
  <c r="J63" i="9"/>
  <c r="D63" i="9"/>
  <c r="M9" i="8"/>
  <c r="Q7" i="8"/>
  <c r="Q201" i="8"/>
  <c r="M203" i="8"/>
  <c r="Q369" i="8"/>
  <c r="Q371" i="8" s="1"/>
  <c r="M371" i="8"/>
  <c r="N288" i="8"/>
  <c r="L396" i="8"/>
  <c r="Q388" i="8"/>
  <c r="Q394" i="8" s="1"/>
  <c r="P396" i="8"/>
  <c r="P136" i="8"/>
  <c r="N133" i="8"/>
  <c r="O136" i="8"/>
  <c r="M133" i="8"/>
  <c r="O133" i="8"/>
  <c r="M136" i="8"/>
  <c r="M137" i="8"/>
  <c r="M132" i="8"/>
  <c r="O132" i="8"/>
  <c r="N136" i="8"/>
  <c r="P132" i="8"/>
  <c r="P133" i="8"/>
  <c r="O137" i="8"/>
  <c r="N132" i="8"/>
  <c r="N134" i="8" s="1"/>
  <c r="P137" i="8"/>
  <c r="N137" i="8"/>
  <c r="Q285" i="8"/>
  <c r="Q197" i="8"/>
  <c r="M199" i="8"/>
  <c r="M117" i="8"/>
  <c r="M119" i="8" s="1"/>
  <c r="Q115" i="8"/>
  <c r="Q117" i="8" s="1"/>
  <c r="B63" i="9"/>
  <c r="I63" i="9"/>
  <c r="P47" i="9"/>
  <c r="L63" i="9"/>
  <c r="B91" i="9" s="1"/>
  <c r="Q219" i="8"/>
  <c r="O224" i="8"/>
  <c r="Q223" i="8"/>
  <c r="Q222" i="8"/>
  <c r="Q224" i="8" s="1"/>
  <c r="M224" i="8"/>
  <c r="Q218" i="8"/>
  <c r="M220" i="8"/>
  <c r="M226" i="8" s="1"/>
  <c r="O220" i="8"/>
  <c r="O226" i="8" s="1"/>
  <c r="N224" i="8"/>
  <c r="N226" i="8" s="1"/>
  <c r="P224" i="8"/>
  <c r="P226" i="8" s="1"/>
  <c r="P71" i="8"/>
  <c r="N75" i="8"/>
  <c r="O75" i="8"/>
  <c r="O71" i="8"/>
  <c r="Q74" i="8"/>
  <c r="N79" i="8" s="1"/>
  <c r="P75" i="8"/>
  <c r="Q69" i="8"/>
  <c r="Q73" i="8"/>
  <c r="M75" i="8"/>
  <c r="M71" i="8"/>
  <c r="N311" i="8" l="1"/>
  <c r="Q307" i="8"/>
  <c r="M309" i="8"/>
  <c r="P325" i="8"/>
  <c r="P331" i="8" s="1"/>
  <c r="N329" i="8"/>
  <c r="N325" i="8"/>
  <c r="Q94" i="8"/>
  <c r="Q96" i="8" s="1"/>
  <c r="M96" i="8"/>
  <c r="N100" i="8"/>
  <c r="P96" i="8"/>
  <c r="P98" i="8" s="1"/>
  <c r="P245" i="8"/>
  <c r="P247" i="8" s="1"/>
  <c r="O245" i="8"/>
  <c r="O247" i="8"/>
  <c r="Q240" i="8"/>
  <c r="N249" i="8" s="1"/>
  <c r="N241" i="8"/>
  <c r="N247" i="8" s="1"/>
  <c r="M241" i="8"/>
  <c r="Q239" i="8"/>
  <c r="L249" i="8" s="1"/>
  <c r="N375" i="8"/>
  <c r="Q367" i="8"/>
  <c r="Q373" i="8" s="1"/>
  <c r="L375" i="8"/>
  <c r="P375" i="8"/>
  <c r="M373" i="8"/>
  <c r="P37" i="8"/>
  <c r="Q30" i="8"/>
  <c r="N39" i="8" s="1"/>
  <c r="O31" i="8"/>
  <c r="N31" i="8"/>
  <c r="N37" i="8" s="1"/>
  <c r="Q33" i="8"/>
  <c r="Q35" i="8" s="1"/>
  <c r="O35" i="8"/>
  <c r="Q324" i="8"/>
  <c r="Q328" i="8"/>
  <c r="N333" i="8" s="1"/>
  <c r="M329" i="8"/>
  <c r="N331" i="8"/>
  <c r="O329" i="8"/>
  <c r="O325" i="8"/>
  <c r="O331" i="8" s="1"/>
  <c r="P161" i="8"/>
  <c r="L163" i="8"/>
  <c r="P163" i="8"/>
  <c r="Q155" i="8"/>
  <c r="Q161" i="8" s="1"/>
  <c r="N181" i="8"/>
  <c r="O181" i="8"/>
  <c r="P177" i="8"/>
  <c r="O177" i="8"/>
  <c r="P181" i="8"/>
  <c r="Q180" i="8"/>
  <c r="M177" i="8"/>
  <c r="Q179" i="8"/>
  <c r="Q181" i="8" s="1"/>
  <c r="Q176" i="8"/>
  <c r="N185" i="8" s="1"/>
  <c r="N177" i="8"/>
  <c r="M181" i="8"/>
  <c r="Q175" i="8"/>
  <c r="Q411" i="8"/>
  <c r="L417" i="8" s="1"/>
  <c r="Q409" i="8"/>
  <c r="O415" i="8"/>
  <c r="Q413" i="8"/>
  <c r="M415" i="8"/>
  <c r="N417" i="8"/>
  <c r="P417" i="8"/>
  <c r="Q415" i="8"/>
  <c r="M15" i="8"/>
  <c r="P15" i="8"/>
  <c r="M57" i="8"/>
  <c r="L311" i="8"/>
  <c r="P311" i="8"/>
  <c r="Q303" i="8"/>
  <c r="N77" i="8"/>
  <c r="Q198" i="8"/>
  <c r="N207" i="8" s="1"/>
  <c r="O286" i="8"/>
  <c r="O288" i="8" s="1"/>
  <c r="Q323" i="8"/>
  <c r="M325" i="8"/>
  <c r="M331" i="8" s="1"/>
  <c r="Q281" i="8"/>
  <c r="N290" i="8" s="1"/>
  <c r="Q8" i="8"/>
  <c r="P17" i="8" s="1"/>
  <c r="M245" i="8"/>
  <c r="Q243" i="8"/>
  <c r="Q245" i="8" s="1"/>
  <c r="M31" i="8"/>
  <c r="M37" i="8" s="1"/>
  <c r="Q29" i="8"/>
  <c r="P117" i="8"/>
  <c r="P119" i="8" s="1"/>
  <c r="Q266" i="8"/>
  <c r="Q268" i="8" s="1"/>
  <c r="L270" i="8"/>
  <c r="N121" i="8"/>
  <c r="Q90" i="8"/>
  <c r="M92" i="8"/>
  <c r="M98" i="8" s="1"/>
  <c r="Q13" i="8"/>
  <c r="P59" i="8"/>
  <c r="Q203" i="8"/>
  <c r="M205" i="8"/>
  <c r="O134" i="8"/>
  <c r="H437" i="8"/>
  <c r="P430" i="8" s="1"/>
  <c r="N138" i="8"/>
  <c r="N140" i="8" s="1"/>
  <c r="P134" i="8"/>
  <c r="P140" i="8" s="1"/>
  <c r="Q137" i="8"/>
  <c r="Q133" i="8"/>
  <c r="O138" i="8"/>
  <c r="P138" i="8"/>
  <c r="O352" i="8"/>
  <c r="L354" i="8"/>
  <c r="Q346" i="8"/>
  <c r="Q352" i="8" s="1"/>
  <c r="P354" i="8"/>
  <c r="Q51" i="8"/>
  <c r="Q57" i="8" s="1"/>
  <c r="G64" i="9"/>
  <c r="P63" i="9"/>
  <c r="B64" i="9"/>
  <c r="N17" i="8"/>
  <c r="M288" i="8"/>
  <c r="M138" i="8"/>
  <c r="Q136" i="8"/>
  <c r="L121" i="8"/>
  <c r="Q113" i="8"/>
  <c r="Q119" i="8" s="1"/>
  <c r="P121" i="8"/>
  <c r="Q75" i="8"/>
  <c r="L207" i="8"/>
  <c r="P207" i="8"/>
  <c r="O77" i="8"/>
  <c r="Q132" i="8"/>
  <c r="M134" i="8"/>
  <c r="L17" i="8"/>
  <c r="Q9" i="8"/>
  <c r="Q15" i="8" s="1"/>
  <c r="Q282" i="8"/>
  <c r="L290" i="8"/>
  <c r="N228" i="8"/>
  <c r="P228" i="8"/>
  <c r="Q220" i="8"/>
  <c r="Q226" i="8" s="1"/>
  <c r="L228" i="8"/>
  <c r="P77" i="8"/>
  <c r="Q71" i="8"/>
  <c r="Q77" i="8" s="1"/>
  <c r="L79" i="8"/>
  <c r="P79" i="8"/>
  <c r="M77" i="8"/>
  <c r="Q309" i="8" l="1"/>
  <c r="M183" i="8"/>
  <c r="O183" i="8"/>
  <c r="P249" i="8"/>
  <c r="Q241" i="8"/>
  <c r="Q247" i="8" s="1"/>
  <c r="M247" i="8"/>
  <c r="O37" i="8"/>
  <c r="Q329" i="8"/>
  <c r="N183" i="8"/>
  <c r="P183" i="8"/>
  <c r="L185" i="8"/>
  <c r="P185" i="8"/>
  <c r="Q177" i="8"/>
  <c r="Q183" i="8" s="1"/>
  <c r="M429" i="8"/>
  <c r="M434" i="8"/>
  <c r="O434" i="8"/>
  <c r="P434" i="8"/>
  <c r="P290" i="8"/>
  <c r="M433" i="8"/>
  <c r="O429" i="8"/>
  <c r="L100" i="8"/>
  <c r="P100" i="8"/>
  <c r="Q92" i="8"/>
  <c r="Q98" i="8" s="1"/>
  <c r="N433" i="8"/>
  <c r="P429" i="8"/>
  <c r="P431" i="8" s="1"/>
  <c r="L64" i="9"/>
  <c r="Q199" i="8"/>
  <c r="N430" i="8"/>
  <c r="Q31" i="8"/>
  <c r="Q37" i="8" s="1"/>
  <c r="L39" i="8"/>
  <c r="P39" i="8"/>
  <c r="L333" i="8"/>
  <c r="Q325" i="8"/>
  <c r="Q331" i="8" s="1"/>
  <c r="P333" i="8"/>
  <c r="O430" i="8"/>
  <c r="M430" i="8"/>
  <c r="P433" i="8"/>
  <c r="Q205" i="8"/>
  <c r="N434" i="8"/>
  <c r="O433" i="8"/>
  <c r="N429" i="8"/>
  <c r="O140" i="8"/>
  <c r="Q138" i="8"/>
  <c r="M140" i="8"/>
  <c r="N142" i="8"/>
  <c r="Q134" i="8"/>
  <c r="Q140" i="8" s="1"/>
  <c r="P142" i="8"/>
  <c r="L142" i="8"/>
  <c r="Q288" i="8"/>
  <c r="O435" i="8" l="1"/>
  <c r="M435" i="8"/>
  <c r="P435" i="8"/>
  <c r="P437" i="8" s="1"/>
  <c r="O431" i="8"/>
  <c r="M431" i="8"/>
  <c r="Q433" i="8"/>
  <c r="Q429" i="8"/>
  <c r="N431" i="8"/>
  <c r="N435" i="8"/>
  <c r="Q434" i="8"/>
  <c r="Q430" i="8"/>
  <c r="O437" i="8" l="1"/>
  <c r="M437" i="8"/>
  <c r="Q431" i="8"/>
  <c r="L439" i="8"/>
  <c r="Q435" i="8"/>
  <c r="N437" i="8"/>
  <c r="P439" i="8"/>
  <c r="N439" i="8"/>
  <c r="Q437" i="8" l="1"/>
</calcChain>
</file>

<file path=xl/sharedStrings.xml><?xml version="1.0" encoding="utf-8"?>
<sst xmlns="http://schemas.openxmlformats.org/spreadsheetml/2006/main" count="1308" uniqueCount="291">
  <si>
    <t>المجموع الكلي</t>
  </si>
  <si>
    <t>المجموع</t>
  </si>
  <si>
    <t>مقيم</t>
  </si>
  <si>
    <t>طوعي</t>
  </si>
  <si>
    <t>تعويضي</t>
  </si>
  <si>
    <t>ذاتي</t>
  </si>
  <si>
    <t>ذكر</t>
  </si>
  <si>
    <t>انثى</t>
  </si>
  <si>
    <t>حسب الجنسية</t>
  </si>
  <si>
    <t>سعودي</t>
  </si>
  <si>
    <t>رخصة قيادة</t>
  </si>
  <si>
    <t>سعودية</t>
  </si>
  <si>
    <t>مقيمة</t>
  </si>
  <si>
    <t>جنسية المتبرع</t>
  </si>
  <si>
    <t>جنس المتبرع</t>
  </si>
  <si>
    <t>سعوديين</t>
  </si>
  <si>
    <t>مقيمين</t>
  </si>
  <si>
    <t>مجموع المتبرعين الذكور</t>
  </si>
  <si>
    <t>مجموع المتبرعات الاناث</t>
  </si>
  <si>
    <t>المنطقة/المحافظة</t>
  </si>
  <si>
    <t>المجموع الكلي للمتبرعين</t>
  </si>
  <si>
    <t>المنطقة/محافظة</t>
  </si>
  <si>
    <t>رجال</t>
  </si>
  <si>
    <t>نساء</t>
  </si>
  <si>
    <t>المجموع الكلي حسب التصنيف</t>
  </si>
  <si>
    <t>عدد المتبرعين الكلي</t>
  </si>
  <si>
    <t>منطقة الرياض</t>
  </si>
  <si>
    <t>منطقة عسير</t>
  </si>
  <si>
    <t>منطقة مكة المكرمة</t>
  </si>
  <si>
    <t>المنطقة الشرقية</t>
  </si>
  <si>
    <t>منطقة المدينة المنورة</t>
  </si>
  <si>
    <t>منطقة القصيم</t>
  </si>
  <si>
    <t xml:space="preserve">منطقة حائل </t>
  </si>
  <si>
    <t>منطقة جازان</t>
  </si>
  <si>
    <t>منطقة نجران</t>
  </si>
  <si>
    <t>منطقة الحدود الشمالية</t>
  </si>
  <si>
    <t>منطقة الجوف</t>
  </si>
  <si>
    <t>منطقة تبوك</t>
  </si>
  <si>
    <t>منطقة الباحة</t>
  </si>
  <si>
    <t>محافظة بيشة</t>
  </si>
  <si>
    <t>محافظة القنفذة</t>
  </si>
  <si>
    <t>محافظة حفر الباطن</t>
  </si>
  <si>
    <t>محافظة الطائف</t>
  </si>
  <si>
    <t>محافظة القريات</t>
  </si>
  <si>
    <t>محافظة جدة</t>
  </si>
  <si>
    <t>محافظة الإحساء</t>
  </si>
  <si>
    <t>المجموع لكل جنس</t>
  </si>
  <si>
    <t>النسبة لمؤية للرجال</t>
  </si>
  <si>
    <t>النسبة المؤية للنساء</t>
  </si>
  <si>
    <t xml:space="preserve">إجمالي النسبة المؤية </t>
  </si>
  <si>
    <t>مجموع كل منطقة</t>
  </si>
  <si>
    <t>النسبة لكلا الجنسين</t>
  </si>
  <si>
    <t>الرياض</t>
  </si>
  <si>
    <t>عسير</t>
  </si>
  <si>
    <t>مكة المكرمة</t>
  </si>
  <si>
    <t xml:space="preserve"> المدينة المنورة</t>
  </si>
  <si>
    <t xml:space="preserve"> القصيم</t>
  </si>
  <si>
    <t xml:space="preserve"> حائل </t>
  </si>
  <si>
    <t xml:space="preserve"> الحدود الشمالية</t>
  </si>
  <si>
    <t xml:space="preserve"> الجوف</t>
  </si>
  <si>
    <t>تبوك</t>
  </si>
  <si>
    <t xml:space="preserve"> بيشة</t>
  </si>
  <si>
    <t xml:space="preserve"> القنفذة</t>
  </si>
  <si>
    <t xml:space="preserve"> حفر الباطن</t>
  </si>
  <si>
    <t xml:space="preserve"> القريات</t>
  </si>
  <si>
    <t>عدد حملات التبرع بالدم</t>
  </si>
  <si>
    <t>عدد عربات التبرع بالدم</t>
  </si>
  <si>
    <t>المنطقة / المحافظة</t>
  </si>
  <si>
    <t>المناطق والمحافظات</t>
  </si>
  <si>
    <t>PRBCS</t>
  </si>
  <si>
    <t xml:space="preserve"> الشرقية</t>
  </si>
  <si>
    <t>المدينة المنورة</t>
  </si>
  <si>
    <t>نجران</t>
  </si>
  <si>
    <t>الطائف</t>
  </si>
  <si>
    <t>القريات</t>
  </si>
  <si>
    <t>جدة</t>
  </si>
  <si>
    <t xml:space="preserve">إجمالي التبرع الطوعي بالمنطقة </t>
  </si>
  <si>
    <t xml:space="preserve"> عدد المتبرعين بالدم في الحملات</t>
  </si>
  <si>
    <t>عدد بنوك الدم</t>
  </si>
  <si>
    <t>عدد الكادر الصحي</t>
  </si>
  <si>
    <t>إجمالي عدد المتبرعين بالدم</t>
  </si>
  <si>
    <t>نسبة التبرع الطوعي</t>
  </si>
  <si>
    <t>مركزي</t>
  </si>
  <si>
    <t>فرعي</t>
  </si>
  <si>
    <t>مركز نقل</t>
  </si>
  <si>
    <t>المحضّر</t>
  </si>
  <si>
    <t>المصروف</t>
  </si>
  <si>
    <t>منتهي الصلاحية</t>
  </si>
  <si>
    <t xml:space="preserve"> الرياض</t>
  </si>
  <si>
    <t xml:space="preserve"> مكة المكرمة</t>
  </si>
  <si>
    <t>جازان</t>
  </si>
  <si>
    <t xml:space="preserve"> تبوك</t>
  </si>
  <si>
    <t>الباحة</t>
  </si>
  <si>
    <t>نسبة تبرع النساء</t>
  </si>
  <si>
    <t xml:space="preserve">تأثير حملة التبرع بالدم في رفع نسبة التبرع الطوعي </t>
  </si>
  <si>
    <t>المتوسط الانتاجي لحملة التبرع بالدم</t>
  </si>
  <si>
    <t xml:space="preserve"> الإحساء</t>
  </si>
  <si>
    <t xml:space="preserve">اعداد: </t>
  </si>
  <si>
    <t xml:space="preserve"> نسبة تأثير حملات التبرع بالدم من اجمالي التبرع الطوعي</t>
  </si>
  <si>
    <t xml:space="preserve"> عدد المتبرعين بمنطقة الجوف لعام 2022 م</t>
  </si>
  <si>
    <t>نسبة عدد المتبرعين بمنطقة الجوف لعام 2022 م</t>
  </si>
  <si>
    <t>عدد المتبرعين بمحافظة القريات لعام 2022م</t>
  </si>
  <si>
    <t>نسبة عدد المتبرعين بمحافظة القريات لعام 2022م</t>
  </si>
  <si>
    <t>عدد المتبرعين بمحافظة بيشة لعام 2022م</t>
  </si>
  <si>
    <t>نسبة عدد المتبرعين بمحافظة بيشة لعام 2022م</t>
  </si>
  <si>
    <t>عدد المتبرعين بمنطقة الحدود الشمالية لعام 2022م</t>
  </si>
  <si>
    <t>نسبة عدد المتبرعين بمنطقة الحدود الشمالية لعام 2022م</t>
  </si>
  <si>
    <t>عدد المتبرعين بمحافظة جدة لعام 2022م</t>
  </si>
  <si>
    <t>نسبة عدد المتبرعين بمحافظة جدة لعام 2022م</t>
  </si>
  <si>
    <t>عدد المتبرعين بمنطقة تبوك لعام 2022م</t>
  </si>
  <si>
    <t>نسبة عدد المتبرعين بمنطقة تبوك لعام 2022م</t>
  </si>
  <si>
    <t>عدد المتبرعين بمنطقة حائل لعام 2022م</t>
  </si>
  <si>
    <t>نسبة عدد المتبرعين بمنطقة حائل لعام 2022م</t>
  </si>
  <si>
    <t>عدد المتبرعين بمحافظة حفر الباطن لعام 2022م</t>
  </si>
  <si>
    <t>نسبة عدد المتبرعين بمحافظة حفر الباطن لعام 2022م</t>
  </si>
  <si>
    <t>عدد المتبرعين بمنطقة عسير لعام 2022م</t>
  </si>
  <si>
    <t>نسبة عدد المتبرعين بمنطقة عسير لعام 2022م</t>
  </si>
  <si>
    <t>عدد المتبرعين بمنطقة القصيم لعام 2022م</t>
  </si>
  <si>
    <t>نسبة عدد المتبرعين بمنطقة القصيم لعام 2022م</t>
  </si>
  <si>
    <t>عدد المتبرعين بمنطقة المدينة المنورة لعام 2022م</t>
  </si>
  <si>
    <t>نسبة عدد المتبرعين بمنطقة المدينة المنورة لعام 2022م</t>
  </si>
  <si>
    <t>عدد المتبرعين بمنطقة نجران لعام 2022م</t>
  </si>
  <si>
    <t>نسبة عدد المتبرعين بمنطقة نجران لعام 2022م</t>
  </si>
  <si>
    <t>عدد المتبرعين بمنطقة الباحة لعام 2022م</t>
  </si>
  <si>
    <t>نسبة عدد المتبرعين بمنطقة الباحة لعام 2022م</t>
  </si>
  <si>
    <t>عدد المتبرعين بمحافظة الطائف لعام 2022م</t>
  </si>
  <si>
    <t>نسبة عدد المتبرعين بمحافظة الطائف لعام 2022م</t>
  </si>
  <si>
    <t>عدد المتبرعين بمحافظة القنفذة لعام 2022م</t>
  </si>
  <si>
    <t>نسبة عدد المتبرعين بمحافظة القنفذة لعام 2022م</t>
  </si>
  <si>
    <t>عدد المتبرعين بمنطقة مكة المكرمة لعام 2022م</t>
  </si>
  <si>
    <t>نسبة عدد المتبرعين بمنطقة مكة المكرمة لعام 2022م</t>
  </si>
  <si>
    <t>عدد المتبرعين بمنطقة الرياض لعام 2022م</t>
  </si>
  <si>
    <t>نسبة عدد المتبرعين بمنطقة الرياض لعام 2022م</t>
  </si>
  <si>
    <t>عدد المتبرعين بمنطقة جازان لعام 2022م</t>
  </si>
  <si>
    <t>نسبة عدد المتبرعين بمنطقة جازان لعام 2022م</t>
  </si>
  <si>
    <t>عدد المتبرعين بمحافظة الاحساء لعام 2022م</t>
  </si>
  <si>
    <t>نسبة عدد المتبرعين بمحافظة الاحساء لعام 2022م</t>
  </si>
  <si>
    <t>عدد المتبرعين بالمنطقة الشرقية لعام 2022 م</t>
  </si>
  <si>
    <t>نسبة عدد المتبرعين بالمنطقة الشرقية لعام 2022 م</t>
  </si>
  <si>
    <t xml:space="preserve">تقرير رقم (2-11) عدد المتبرعين بجميع مناطق ومحافظات المملكة لعام 2022 م </t>
  </si>
  <si>
    <t>نسبة عدد المتبرعين بمختلف مناطق ومحافظات المملكة لعام 2022م</t>
  </si>
  <si>
    <t>أ.محمد بن عبدالله العمّار                    أ.عهد فؤاد بن عفيف            أ. خلود بنت علي الدلبه</t>
  </si>
  <si>
    <t>عدد الاتفاقيات مع الجمعيات الخاصة بالتحفيز</t>
  </si>
  <si>
    <t>نوع العربة</t>
  </si>
  <si>
    <t>رقم لوحة السيارة</t>
  </si>
  <si>
    <t>المالك حسب الاستمارة</t>
  </si>
  <si>
    <t xml:space="preserve">تحت عهدة </t>
  </si>
  <si>
    <t>هل يوجد عقد صيانة؟</t>
  </si>
  <si>
    <t>عدد مرات الصيانة بالسنة</t>
  </si>
  <si>
    <t>هل يوجد سائق  مفرغ للعربة؟</t>
  </si>
  <si>
    <t>التكلفة التشغيلية لعام 2022</t>
  </si>
  <si>
    <t xml:space="preserve">موقع  وقوف العربة </t>
  </si>
  <si>
    <t xml:space="preserve">فورد-هوم كرفان </t>
  </si>
  <si>
    <t>د م ق 4709</t>
  </si>
  <si>
    <t>صحة الاحساء</t>
  </si>
  <si>
    <t>تجمع الاحساء الصحي</t>
  </si>
  <si>
    <t>شركة الخليج الطبية</t>
  </si>
  <si>
    <t>لايوجد سائق معين</t>
  </si>
  <si>
    <t xml:space="preserve">مواقف الشؤون الصحية </t>
  </si>
  <si>
    <t>لا يوجد</t>
  </si>
  <si>
    <t>الأحساء</t>
  </si>
  <si>
    <t>تقرير عربات التبرع بالدم  عام 2022م</t>
  </si>
  <si>
    <t>د ل ن 3508</t>
  </si>
  <si>
    <t>مديرية الشئوون الصحية بمحافظة الطائف</t>
  </si>
  <si>
    <t>عواد عبدالله النفيعي</t>
  </si>
  <si>
    <t>نعم</t>
  </si>
  <si>
    <t>لا</t>
  </si>
  <si>
    <t xml:space="preserve">فورد </t>
  </si>
  <si>
    <t>بنك الدم المركزي</t>
  </si>
  <si>
    <t>لايوجد</t>
  </si>
  <si>
    <t>فورد موتر هوم كرفان</t>
  </si>
  <si>
    <t>د م ق   4712</t>
  </si>
  <si>
    <t xml:space="preserve">مديرية الشوون الصحية بمنطقة الباحة </t>
  </si>
  <si>
    <t xml:space="preserve">المختبر الاقليمي  </t>
  </si>
  <si>
    <t xml:space="preserve">نعم </t>
  </si>
  <si>
    <t xml:space="preserve">زيارة واحدة </t>
  </si>
  <si>
    <t xml:space="preserve">لا </t>
  </si>
  <si>
    <t xml:space="preserve">من 12 الى 15 الف  </t>
  </si>
  <si>
    <t>بنك الدم المركزي بالمختبر الاقليمي</t>
  </si>
  <si>
    <t>فورد</t>
  </si>
  <si>
    <t>الشئون الصحية بتبوك</t>
  </si>
  <si>
    <t>إدارة المختبرات وبنوك الدم</t>
  </si>
  <si>
    <t xml:space="preserve">5849 ريال </t>
  </si>
  <si>
    <t>مستشفى الملك خالد</t>
  </si>
  <si>
    <t>الحدود الشمالية</t>
  </si>
  <si>
    <t>عربة تبرع بالدم</t>
  </si>
  <si>
    <t>د م ق ٤٧٠٤</t>
  </si>
  <si>
    <t>غير معلوم</t>
  </si>
  <si>
    <t>المختبر الإقليمي وبنك الدم</t>
  </si>
  <si>
    <t xml:space="preserve">مديرية الشؤون الصحية </t>
  </si>
  <si>
    <t>مديرية الشؤون الصحية</t>
  </si>
  <si>
    <t>متنقلة</t>
  </si>
  <si>
    <t>د ن ل 3507</t>
  </si>
  <si>
    <t>وزارة الصحة</t>
  </si>
  <si>
    <t>الصيانة</t>
  </si>
  <si>
    <t>قسم الحركة</t>
  </si>
  <si>
    <t>متغير</t>
  </si>
  <si>
    <t>ثابتة</t>
  </si>
  <si>
    <t>جمعية دمي</t>
  </si>
  <si>
    <t>ثابنة</t>
  </si>
  <si>
    <t>ممشى الهجرة</t>
  </si>
  <si>
    <t>الجوف</t>
  </si>
  <si>
    <t>بيشة</t>
  </si>
  <si>
    <t>فورد - موتر هوم</t>
  </si>
  <si>
    <t>د م ق - 4713</t>
  </si>
  <si>
    <t xml:space="preserve"> مديرية الشؤون الصحية بمحافظة بيشة  </t>
  </si>
  <si>
    <t xml:space="preserve">بنك الدم المركزي </t>
  </si>
  <si>
    <t xml:space="preserve">مرتان </t>
  </si>
  <si>
    <t xml:space="preserve">العربه 1 ( أ هـ د 1930 )  </t>
  </si>
  <si>
    <t xml:space="preserve">صحه الرياض </t>
  </si>
  <si>
    <t>بنك الدم المركزي بالرياض</t>
  </si>
  <si>
    <t>تحت الضمان</t>
  </si>
  <si>
    <t>لاتعمل</t>
  </si>
  <si>
    <t>العربة 2 ( د م ق 4719 )</t>
  </si>
  <si>
    <t>يوجد شريحة بنزين</t>
  </si>
  <si>
    <t>العربه 3 ( د م ق 4715 )</t>
  </si>
  <si>
    <t>المجمعة</t>
  </si>
  <si>
    <t>العربة 4 ( د م ق 4717 )</t>
  </si>
  <si>
    <t>وادي الدواسر</t>
  </si>
  <si>
    <t>العربة 5 ( د م ق 4710 )</t>
  </si>
  <si>
    <t>الدوادمي</t>
  </si>
  <si>
    <t>موتر هوم</t>
  </si>
  <si>
    <t>د ل ن 3511</t>
  </si>
  <si>
    <t>الشؤون الصحية بحائل</t>
  </si>
  <si>
    <t>فرحان خلف العنزي</t>
  </si>
  <si>
    <t>حافلة</t>
  </si>
  <si>
    <t>ا ب ه 6254</t>
  </si>
  <si>
    <t>ا ب ه 6284</t>
  </si>
  <si>
    <t>حائل</t>
  </si>
  <si>
    <t>حافلة موديل 2017</t>
  </si>
  <si>
    <t xml:space="preserve">3505 د ل ن </t>
  </si>
  <si>
    <t>تجمع القصيم الصحي</t>
  </si>
  <si>
    <t>25 ألف</t>
  </si>
  <si>
    <t>التجمع الصحي</t>
  </si>
  <si>
    <t>القصيم</t>
  </si>
  <si>
    <t>الشرقية</t>
  </si>
  <si>
    <t>د ل ن 3509</t>
  </si>
  <si>
    <t>المديرية العامة للشئون الصحية</t>
  </si>
  <si>
    <t xml:space="preserve">المختبر الاقليمي وبنك الدم </t>
  </si>
  <si>
    <t xml:space="preserve">عند بنك الدم </t>
  </si>
  <si>
    <t xml:space="preserve">فورد موتر </t>
  </si>
  <si>
    <t>د ق م 4706</t>
  </si>
  <si>
    <t>مديرية الشئون الصحية</t>
  </si>
  <si>
    <t xml:space="preserve">الشئون الصحية </t>
  </si>
  <si>
    <t>حفرالباطن</t>
  </si>
  <si>
    <t xml:space="preserve">أ هـــ د 1929 </t>
  </si>
  <si>
    <t>مديرية الشؤون الصحية بمنطقة مكة المكرمة</t>
  </si>
  <si>
    <t>الخدمات المسانده</t>
  </si>
  <si>
    <t>جراج الوزارة</t>
  </si>
  <si>
    <t>د ل ن 3506</t>
  </si>
  <si>
    <t>حسب العقد</t>
  </si>
  <si>
    <t>القنفذة</t>
  </si>
  <si>
    <t>winnebago</t>
  </si>
  <si>
    <t>د م ق 4708</t>
  </si>
  <si>
    <t>مديرية الشئون الصحية بالقريات</t>
  </si>
  <si>
    <t>لالا</t>
  </si>
  <si>
    <t>غير معروف</t>
  </si>
  <si>
    <t>مستشفى القريات العام</t>
  </si>
  <si>
    <t xml:space="preserve">شاحنة </t>
  </si>
  <si>
    <t>ب ر ي 4017</t>
  </si>
  <si>
    <t>الشئوون الصحية بجازان</t>
  </si>
  <si>
    <t>إدارة المختبرات</t>
  </si>
  <si>
    <t xml:space="preserve">لا يوجد </t>
  </si>
  <si>
    <t>لا توجد</t>
  </si>
  <si>
    <t>الكورنيش الشمالي</t>
  </si>
  <si>
    <t>ب ر ي ٤٠١٦</t>
  </si>
  <si>
    <t xml:space="preserve">حديقة الملك فهد بصبيا </t>
  </si>
  <si>
    <t>دل ن 3513</t>
  </si>
  <si>
    <t>إدارة الخدمات المساندة</t>
  </si>
  <si>
    <t>مرتين</t>
  </si>
  <si>
    <t>ا هـ د 1928</t>
  </si>
  <si>
    <t xml:space="preserve">صحة الشرقية </t>
  </si>
  <si>
    <t xml:space="preserve">بدون </t>
  </si>
  <si>
    <t xml:space="preserve">على إدارة الخدمات </t>
  </si>
  <si>
    <t xml:space="preserve">مواقف إدارة المختبرات </t>
  </si>
  <si>
    <t>د ل ن 3504</t>
  </si>
  <si>
    <t xml:space="preserve">صحة عسير </t>
  </si>
  <si>
    <t xml:space="preserve">إدارة المختبرات </t>
  </si>
  <si>
    <t xml:space="preserve">تحت الضمان </t>
  </si>
  <si>
    <t xml:space="preserve">شركة الخليج </t>
  </si>
  <si>
    <t xml:space="preserve">4710 د م ق </t>
  </si>
  <si>
    <t>مديرية الشئون الصحية بالقنفذة</t>
  </si>
  <si>
    <t xml:space="preserve">الخدمات العامة </t>
  </si>
  <si>
    <t>..............................</t>
  </si>
  <si>
    <t>إدارة الخدمات العامة</t>
  </si>
  <si>
    <t>عدد حملات التبرع بالدم المنفذة</t>
  </si>
  <si>
    <t>نسبة منتهي الصلاحية من المحضر</t>
  </si>
  <si>
    <t>تقرير رقم (1) مختصر التقرير الإحصائي لبنوك الدم التابعة لوزارة الصحة بجميع مناطق ومحافظات المملكة لعام 2022م</t>
  </si>
  <si>
    <t xml:space="preserve">تقرير رقم (3 ) عدد المتبرعين بالدم ببنوك الدم التابعة لوزارة الصحة  لعام 2022م </t>
  </si>
  <si>
    <t>تقرير رقم (4) نسبة عدد المتبرعين بالدم لعام 2022م حسب التصنيف.</t>
  </si>
  <si>
    <t>تقرير رقم (5) حملات التبرع بالدم بالمملكة لعام 2022م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</si>
</sst>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9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HASOOB"/>
      <charset val="178"/>
    </font>
    <font>
      <b/>
      <sz val="18"/>
      <color theme="1"/>
      <name val="HASOOB"/>
      <charset val="178"/>
    </font>
    <font>
      <sz val="11"/>
      <color theme="1"/>
      <name val="Calibri"/>
      <family val="2"/>
      <charset val="178"/>
      <scheme val="minor"/>
    </font>
    <font>
      <b/>
      <sz val="16"/>
      <color theme="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6" tint="0.39997558519241921"/>
      <name val="Calibri"/>
      <family val="2"/>
      <charset val="178"/>
      <scheme val="minor"/>
    </font>
    <font>
      <b/>
      <sz val="16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6500"/>
      <name val="Calibri"/>
      <family val="2"/>
      <scheme val="minor"/>
    </font>
    <font>
      <b/>
      <sz val="14"/>
      <color theme="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HASOOB"/>
      <charset val="178"/>
    </font>
    <font>
      <b/>
      <sz val="14"/>
      <color theme="1" tint="0.3499862666707357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Akhbar MT"/>
      <charset val="178"/>
    </font>
    <font>
      <b/>
      <sz val="12"/>
      <name val="Akhbar MT"/>
      <charset val="178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7FECE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/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8" fillId="0" borderId="0" applyFont="0" applyFill="0" applyBorder="0" applyAlignment="0" applyProtection="0"/>
    <xf numFmtId="0" fontId="14" fillId="17" borderId="0" applyNumberFormat="0" applyBorder="0" applyAlignment="0" applyProtection="0"/>
    <xf numFmtId="0" fontId="18" fillId="22" borderId="0" applyNumberFormat="0" applyBorder="0" applyAlignment="0" applyProtection="0"/>
    <xf numFmtId="0" fontId="15" fillId="24" borderId="44" applyNumberFormat="0" applyAlignment="0" applyProtection="0"/>
  </cellStyleXfs>
  <cellXfs count="342">
    <xf numFmtId="0" fontId="0" fillId="0" borderId="0" xfId="0"/>
    <xf numFmtId="0" fontId="3" fillId="9" borderId="5" xfId="1" applyFont="1" applyFill="1" applyBorder="1" applyAlignment="1">
      <alignment horizontal="center" vertical="center"/>
    </xf>
    <xf numFmtId="0" fontId="3" fillId="10" borderId="5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3" borderId="5" xfId="1" applyFont="1" applyFill="1" applyBorder="1" applyAlignment="1">
      <alignment horizontal="center" vertical="center"/>
    </xf>
    <xf numFmtId="164" fontId="3" fillId="10" borderId="5" xfId="3" applyNumberFormat="1" applyFont="1" applyFill="1" applyBorder="1" applyAlignment="1">
      <alignment horizontal="center" vertical="center"/>
    </xf>
    <xf numFmtId="0" fontId="3" fillId="15" borderId="5" xfId="1" applyFont="1" applyFill="1" applyBorder="1" applyAlignment="1">
      <alignment horizontal="center" vertical="center"/>
    </xf>
    <xf numFmtId="0" fontId="3" fillId="16" borderId="5" xfId="1" applyFont="1" applyFill="1" applyBorder="1" applyAlignment="1">
      <alignment horizontal="center" vertical="center"/>
    </xf>
    <xf numFmtId="164" fontId="3" fillId="15" borderId="5" xfId="3" applyNumberFormat="1" applyFont="1" applyFill="1" applyBorder="1" applyAlignment="1">
      <alignment horizontal="center" vertical="center"/>
    </xf>
    <xf numFmtId="164" fontId="3" fillId="16" borderId="5" xfId="3" applyNumberFormat="1" applyFont="1" applyFill="1" applyBorder="1" applyAlignment="1">
      <alignment horizontal="center" vertical="center"/>
    </xf>
    <xf numFmtId="0" fontId="3" fillId="6" borderId="5" xfId="1" applyFont="1" applyFill="1" applyBorder="1" applyAlignment="1">
      <alignment horizontal="center" vertical="center"/>
    </xf>
    <xf numFmtId="164" fontId="3" fillId="6" borderId="5" xfId="3" applyNumberFormat="1" applyFont="1" applyFill="1" applyBorder="1" applyAlignment="1">
      <alignment horizontal="center" vertical="center"/>
    </xf>
    <xf numFmtId="0" fontId="3" fillId="11" borderId="5" xfId="1" applyFont="1" applyFill="1" applyBorder="1" applyAlignment="1">
      <alignment horizontal="center" vertical="center"/>
    </xf>
    <xf numFmtId="164" fontId="3" fillId="11" borderId="5" xfId="3" applyNumberFormat="1" applyFont="1" applyFill="1" applyBorder="1" applyAlignment="1">
      <alignment horizontal="center" vertical="center"/>
    </xf>
    <xf numFmtId="0" fontId="3" fillId="7" borderId="15" xfId="1" applyFont="1" applyFill="1" applyBorder="1" applyAlignment="1">
      <alignment horizontal="center" vertical="center"/>
    </xf>
    <xf numFmtId="164" fontId="3" fillId="7" borderId="15" xfId="3" applyNumberFormat="1" applyFont="1" applyFill="1" applyBorder="1" applyAlignment="1">
      <alignment horizontal="center" vertical="center"/>
    </xf>
    <xf numFmtId="164" fontId="3" fillId="7" borderId="15" xfId="1" applyNumberFormat="1" applyFont="1" applyFill="1" applyBorder="1" applyAlignment="1">
      <alignment horizontal="center" vertical="center"/>
    </xf>
    <xf numFmtId="9" fontId="3" fillId="10" borderId="5" xfId="3" applyFont="1" applyFill="1" applyBorder="1" applyAlignment="1">
      <alignment horizontal="center" vertical="center"/>
    </xf>
    <xf numFmtId="9" fontId="3" fillId="15" borderId="5" xfId="3" applyFont="1" applyFill="1" applyBorder="1" applyAlignment="1">
      <alignment horizontal="center" vertical="center"/>
    </xf>
    <xf numFmtId="9" fontId="3" fillId="16" borderId="5" xfId="3" applyFont="1" applyFill="1" applyBorder="1" applyAlignment="1">
      <alignment horizontal="center" vertical="center"/>
    </xf>
    <xf numFmtId="10" fontId="3" fillId="10" borderId="5" xfId="3" applyNumberFormat="1" applyFont="1" applyFill="1" applyBorder="1" applyAlignment="1">
      <alignment horizontal="center" vertical="center"/>
    </xf>
    <xf numFmtId="10" fontId="3" fillId="15" borderId="5" xfId="3" applyNumberFormat="1" applyFont="1" applyFill="1" applyBorder="1" applyAlignment="1">
      <alignment horizontal="center" vertical="center"/>
    </xf>
    <xf numFmtId="10" fontId="3" fillId="16" borderId="5" xfId="3" applyNumberFormat="1" applyFont="1" applyFill="1" applyBorder="1" applyAlignment="1">
      <alignment horizontal="center" vertical="center"/>
    </xf>
    <xf numFmtId="10" fontId="3" fillId="6" borderId="5" xfId="3" applyNumberFormat="1" applyFont="1" applyFill="1" applyBorder="1" applyAlignment="1">
      <alignment horizontal="center" vertical="center"/>
    </xf>
    <xf numFmtId="10" fontId="3" fillId="11" borderId="5" xfId="3" applyNumberFormat="1" applyFont="1" applyFill="1" applyBorder="1" applyAlignment="1">
      <alignment horizontal="center" vertical="center"/>
    </xf>
    <xf numFmtId="10" fontId="3" fillId="7" borderId="15" xfId="3" applyNumberFormat="1" applyFont="1" applyFill="1" applyBorder="1" applyAlignment="1">
      <alignment horizontal="center" vertical="center"/>
    </xf>
    <xf numFmtId="10" fontId="3" fillId="7" borderId="15" xfId="1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5" xfId="1" applyFont="1" applyFill="1" applyBorder="1" applyAlignment="1">
      <alignment horizontal="center" vertical="center"/>
    </xf>
    <xf numFmtId="0" fontId="10" fillId="8" borderId="5" xfId="1" applyFont="1" applyFill="1" applyBorder="1" applyAlignment="1">
      <alignment horizontal="center" vertical="center"/>
    </xf>
    <xf numFmtId="0" fontId="3" fillId="8" borderId="5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35" xfId="1" applyFont="1" applyFill="1" applyBorder="1" applyAlignment="1">
      <alignment horizontal="center" vertical="center"/>
    </xf>
    <xf numFmtId="0" fontId="3" fillId="11" borderId="4" xfId="1" applyFont="1" applyFill="1" applyBorder="1" applyAlignment="1">
      <alignment horizontal="center" vertical="center"/>
    </xf>
    <xf numFmtId="0" fontId="10" fillId="5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35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36" xfId="1" applyFont="1" applyFill="1" applyBorder="1" applyAlignment="1">
      <alignment horizontal="center" vertical="center"/>
    </xf>
    <xf numFmtId="0" fontId="3" fillId="11" borderId="11" xfId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vertical="center"/>
    </xf>
    <xf numFmtId="0" fontId="3" fillId="11" borderId="4" xfId="1" applyFont="1" applyFill="1" applyBorder="1" applyAlignment="1">
      <alignment vertical="center"/>
    </xf>
    <xf numFmtId="0" fontId="10" fillId="2" borderId="37" xfId="1" applyFont="1" applyFill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164" fontId="3" fillId="8" borderId="5" xfId="3" applyNumberFormat="1" applyFont="1" applyFill="1" applyBorder="1" applyAlignment="1">
      <alignment horizontal="center" vertical="center"/>
    </xf>
    <xf numFmtId="164" fontId="3" fillId="8" borderId="2" xfId="3" applyNumberFormat="1" applyFont="1" applyFill="1" applyBorder="1" applyAlignment="1">
      <alignment horizontal="center" vertical="center"/>
    </xf>
    <xf numFmtId="9" fontId="3" fillId="8" borderId="5" xfId="3" applyFont="1" applyFill="1" applyBorder="1" applyAlignment="1">
      <alignment horizontal="center" vertical="center"/>
    </xf>
    <xf numFmtId="9" fontId="3" fillId="8" borderId="2" xfId="3" applyFont="1" applyFill="1" applyBorder="1" applyAlignment="1">
      <alignment horizontal="center" vertical="center"/>
    </xf>
    <xf numFmtId="164" fontId="3" fillId="8" borderId="35" xfId="3" applyNumberFormat="1" applyFont="1" applyFill="1" applyBorder="1" applyAlignment="1">
      <alignment horizontal="center" vertical="center"/>
    </xf>
    <xf numFmtId="164" fontId="3" fillId="11" borderId="4" xfId="3" applyNumberFormat="1" applyFont="1" applyFill="1" applyBorder="1" applyAlignment="1">
      <alignment horizontal="center" vertical="center"/>
    </xf>
    <xf numFmtId="164" fontId="3" fillId="5" borderId="5" xfId="3" applyNumberFormat="1" applyFont="1" applyFill="1" applyBorder="1" applyAlignment="1">
      <alignment horizontal="center" vertical="center"/>
    </xf>
    <xf numFmtId="164" fontId="3" fillId="5" borderId="2" xfId="3" applyNumberFormat="1" applyFont="1" applyFill="1" applyBorder="1" applyAlignment="1">
      <alignment horizontal="center" vertical="center"/>
    </xf>
    <xf numFmtId="9" fontId="3" fillId="5" borderId="5" xfId="3" applyFont="1" applyFill="1" applyBorder="1" applyAlignment="1">
      <alignment horizontal="center" vertical="center"/>
    </xf>
    <xf numFmtId="9" fontId="3" fillId="5" borderId="35" xfId="3" applyFont="1" applyFill="1" applyBorder="1" applyAlignment="1">
      <alignment horizontal="center" vertical="center"/>
    </xf>
    <xf numFmtId="164" fontId="3" fillId="11" borderId="4" xfId="1" applyNumberFormat="1" applyFont="1" applyFill="1" applyBorder="1" applyAlignment="1">
      <alignment horizontal="center" vertical="center"/>
    </xf>
    <xf numFmtId="164" fontId="3" fillId="8" borderId="5" xfId="1" applyNumberFormat="1" applyFont="1" applyFill="1" applyBorder="1" applyAlignment="1">
      <alignment horizontal="center" vertical="center"/>
    </xf>
    <xf numFmtId="164" fontId="3" fillId="8" borderId="2" xfId="1" applyNumberFormat="1" applyFont="1" applyFill="1" applyBorder="1" applyAlignment="1">
      <alignment horizontal="center" vertical="center"/>
    </xf>
    <xf numFmtId="9" fontId="3" fillId="8" borderId="35" xfId="3" applyFont="1" applyFill="1" applyBorder="1" applyAlignment="1">
      <alignment horizontal="center" vertical="center"/>
    </xf>
    <xf numFmtId="164" fontId="3" fillId="5" borderId="5" xfId="1" applyNumberFormat="1" applyFont="1" applyFill="1" applyBorder="1" applyAlignment="1">
      <alignment horizontal="center" vertical="center"/>
    </xf>
    <xf numFmtId="164" fontId="3" fillId="5" borderId="2" xfId="1" applyNumberFormat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164" fontId="3" fillId="3" borderId="5" xfId="3" applyNumberFormat="1" applyFont="1" applyFill="1" applyBorder="1" applyAlignment="1">
      <alignment horizontal="center" vertical="center"/>
    </xf>
    <xf numFmtId="164" fontId="3" fillId="3" borderId="2" xfId="3" applyNumberFormat="1" applyFont="1" applyFill="1" applyBorder="1" applyAlignment="1">
      <alignment horizontal="center" vertical="center"/>
    </xf>
    <xf numFmtId="164" fontId="3" fillId="3" borderId="5" xfId="1" applyNumberFormat="1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/>
    </xf>
    <xf numFmtId="9" fontId="3" fillId="3" borderId="5" xfId="3" applyFont="1" applyFill="1" applyBorder="1" applyAlignment="1">
      <alignment horizontal="center" vertical="center"/>
    </xf>
    <xf numFmtId="9" fontId="3" fillId="3" borderId="35" xfId="3" applyFont="1" applyFill="1" applyBorder="1" applyAlignment="1">
      <alignment horizontal="center" vertical="center"/>
    </xf>
    <xf numFmtId="164" fontId="3" fillId="3" borderId="8" xfId="1" applyNumberFormat="1" applyFont="1" applyFill="1" applyBorder="1" applyAlignment="1">
      <alignment vertical="center"/>
    </xf>
    <xf numFmtId="164" fontId="0" fillId="0" borderId="0" xfId="0" applyNumberFormat="1"/>
    <xf numFmtId="9" fontId="0" fillId="0" borderId="0" xfId="0" applyNumberFormat="1"/>
    <xf numFmtId="9" fontId="3" fillId="8" borderId="4" xfId="3" applyFont="1" applyFill="1" applyBorder="1" applyAlignment="1">
      <alignment horizontal="center" vertical="center"/>
    </xf>
    <xf numFmtId="9" fontId="3" fillId="5" borderId="4" xfId="3" applyFont="1" applyFill="1" applyBorder="1" applyAlignment="1">
      <alignment horizontal="center" vertical="center"/>
    </xf>
    <xf numFmtId="164" fontId="3" fillId="8" borderId="4" xfId="3" applyNumberFormat="1" applyFont="1" applyFill="1" applyBorder="1" applyAlignment="1">
      <alignment horizontal="center" vertical="center"/>
    </xf>
    <xf numFmtId="9" fontId="3" fillId="3" borderId="4" xfId="3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17" fillId="19" borderId="43" xfId="0" applyFont="1" applyFill="1" applyBorder="1" applyAlignment="1">
      <alignment horizontal="center" vertical="center"/>
    </xf>
    <xf numFmtId="0" fontId="15" fillId="24" borderId="44" xfId="6" applyAlignment="1">
      <alignment horizontal="center" vertical="center"/>
    </xf>
    <xf numFmtId="0" fontId="15" fillId="24" borderId="44" xfId="6"/>
    <xf numFmtId="0" fontId="20" fillId="23" borderId="43" xfId="4" applyFont="1" applyFill="1" applyBorder="1" applyAlignment="1">
      <alignment horizontal="center" vertical="center" wrapText="1"/>
    </xf>
    <xf numFmtId="0" fontId="21" fillId="4" borderId="43" xfId="0" applyFont="1" applyFill="1" applyBorder="1" applyAlignment="1">
      <alignment horizontal="center" vertical="center"/>
    </xf>
    <xf numFmtId="0" fontId="3" fillId="4" borderId="43" xfId="4" applyFont="1" applyFill="1" applyBorder="1" applyAlignment="1">
      <alignment horizontal="center" vertical="center" wrapText="1"/>
    </xf>
    <xf numFmtId="0" fontId="3" fillId="4" borderId="43" xfId="4" applyFont="1" applyFill="1" applyBorder="1" applyAlignment="1">
      <alignment horizontal="center" vertical="center"/>
    </xf>
    <xf numFmtId="9" fontId="3" fillId="4" borderId="43" xfId="3" applyFont="1" applyFill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/>
    </xf>
    <xf numFmtId="0" fontId="17" fillId="18" borderId="43" xfId="0" applyFont="1" applyFill="1" applyBorder="1" applyAlignment="1">
      <alignment horizontal="center" vertical="center"/>
    </xf>
    <xf numFmtId="1" fontId="17" fillId="18" borderId="43" xfId="0" applyNumberFormat="1" applyFont="1" applyFill="1" applyBorder="1" applyAlignment="1">
      <alignment horizontal="center" vertical="center"/>
    </xf>
    <xf numFmtId="0" fontId="21" fillId="21" borderId="43" xfId="0" applyFont="1" applyFill="1" applyBorder="1" applyAlignment="1">
      <alignment horizontal="center" vertical="center"/>
    </xf>
    <xf numFmtId="0" fontId="3" fillId="21" borderId="43" xfId="4" applyFont="1" applyFill="1" applyBorder="1" applyAlignment="1">
      <alignment horizontal="center" vertical="center" wrapText="1"/>
    </xf>
    <xf numFmtId="1" fontId="3" fillId="21" borderId="43" xfId="4" applyNumberFormat="1" applyFont="1" applyFill="1" applyBorder="1" applyAlignment="1">
      <alignment horizontal="center" vertical="center" wrapText="1"/>
    </xf>
    <xf numFmtId="0" fontId="3" fillId="21" borderId="43" xfId="4" applyFont="1" applyFill="1" applyBorder="1" applyAlignment="1">
      <alignment horizontal="center" vertical="center"/>
    </xf>
    <xf numFmtId="1" fontId="3" fillId="0" borderId="43" xfId="0" applyNumberFormat="1" applyFont="1" applyBorder="1" applyAlignment="1">
      <alignment horizontal="center" vertical="center"/>
    </xf>
    <xf numFmtId="1" fontId="3" fillId="4" borderId="43" xfId="0" applyNumberFormat="1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/>
    </xf>
    <xf numFmtId="9" fontId="3" fillId="21" borderId="43" xfId="3" applyFont="1" applyFill="1" applyBorder="1" applyAlignment="1">
      <alignment horizontal="center" vertical="center" wrapText="1"/>
    </xf>
    <xf numFmtId="1" fontId="3" fillId="21" borderId="43" xfId="0" applyNumberFormat="1" applyFont="1" applyFill="1" applyBorder="1" applyAlignment="1">
      <alignment horizontal="center" vertical="center"/>
    </xf>
    <xf numFmtId="0" fontId="3" fillId="21" borderId="43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49" xfId="0" applyFont="1" applyFill="1" applyBorder="1" applyAlignment="1">
      <alignment horizontal="center" vertical="center"/>
    </xf>
    <xf numFmtId="0" fontId="3" fillId="8" borderId="50" xfId="0" applyFont="1" applyFill="1" applyBorder="1" applyAlignment="1">
      <alignment horizontal="center" vertical="center"/>
    </xf>
    <xf numFmtId="0" fontId="5" fillId="25" borderId="2" xfId="1" applyFont="1" applyFill="1" applyBorder="1" applyAlignment="1">
      <alignment horizontal="center" vertical="center"/>
    </xf>
    <xf numFmtId="0" fontId="3" fillId="25" borderId="48" xfId="1" applyFont="1" applyFill="1" applyBorder="1" applyAlignment="1">
      <alignment horizontal="center" vertical="center"/>
    </xf>
    <xf numFmtId="0" fontId="3" fillId="25" borderId="49" xfId="1" applyFont="1" applyFill="1" applyBorder="1" applyAlignment="1">
      <alignment horizontal="center" vertical="center"/>
    </xf>
    <xf numFmtId="0" fontId="3" fillId="25" borderId="5" xfId="1" applyFont="1" applyFill="1" applyBorder="1" applyAlignment="1">
      <alignment horizontal="center" vertical="center"/>
    </xf>
    <xf numFmtId="0" fontId="3" fillId="25" borderId="50" xfId="1" applyFont="1" applyFill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/>
    </xf>
    <xf numFmtId="0" fontId="3" fillId="9" borderId="48" xfId="1" applyFont="1" applyFill="1" applyBorder="1" applyAlignment="1">
      <alignment horizontal="center" vertical="center"/>
    </xf>
    <xf numFmtId="0" fontId="3" fillId="9" borderId="49" xfId="1" applyFont="1" applyFill="1" applyBorder="1" applyAlignment="1">
      <alignment horizontal="center" vertical="center"/>
    </xf>
    <xf numFmtId="0" fontId="3" fillId="9" borderId="50" xfId="1" applyFont="1" applyFill="1" applyBorder="1" applyAlignment="1">
      <alignment horizontal="center" vertical="center"/>
    </xf>
    <xf numFmtId="9" fontId="3" fillId="9" borderId="50" xfId="1" applyNumberFormat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horizontal="center" vertical="center"/>
    </xf>
    <xf numFmtId="164" fontId="21" fillId="9" borderId="50" xfId="1" applyNumberFormat="1" applyFont="1" applyFill="1" applyBorder="1" applyAlignment="1">
      <alignment horizontal="center" vertical="center"/>
    </xf>
    <xf numFmtId="9" fontId="3" fillId="25" borderId="50" xfId="1" applyNumberFormat="1" applyFont="1" applyFill="1" applyBorder="1" applyAlignment="1">
      <alignment horizontal="center" vertical="center"/>
    </xf>
    <xf numFmtId="0" fontId="3" fillId="25" borderId="2" xfId="1" applyFont="1" applyFill="1" applyBorder="1" applyAlignment="1">
      <alignment horizontal="center" vertical="center"/>
    </xf>
    <xf numFmtId="164" fontId="21" fillId="25" borderId="50" xfId="1" applyNumberFormat="1" applyFont="1" applyFill="1" applyBorder="1" applyAlignment="1">
      <alignment horizontal="center" vertical="center"/>
    </xf>
    <xf numFmtId="164" fontId="3" fillId="25" borderId="50" xfId="1" applyNumberFormat="1" applyFont="1" applyFill="1" applyBorder="1" applyAlignment="1">
      <alignment horizontal="center" vertical="center"/>
    </xf>
    <xf numFmtId="9" fontId="0" fillId="0" borderId="0" xfId="3" applyFont="1"/>
    <xf numFmtId="0" fontId="5" fillId="9" borderId="9" xfId="1" applyFont="1" applyFill="1" applyBorder="1" applyAlignment="1">
      <alignment horizontal="center" vertical="center"/>
    </xf>
    <xf numFmtId="0" fontId="3" fillId="9" borderId="51" xfId="1" applyFont="1" applyFill="1" applyBorder="1" applyAlignment="1">
      <alignment horizontal="center" vertical="center"/>
    </xf>
    <xf numFmtId="0" fontId="3" fillId="9" borderId="5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53" xfId="1" applyFont="1" applyFill="1" applyBorder="1" applyAlignment="1">
      <alignment horizontal="center" vertical="center"/>
    </xf>
    <xf numFmtId="9" fontId="3" fillId="9" borderId="53" xfId="1" applyNumberFormat="1" applyFont="1" applyFill="1" applyBorder="1" applyAlignment="1">
      <alignment horizontal="center" vertical="center"/>
    </xf>
    <xf numFmtId="0" fontId="3" fillId="9" borderId="9" xfId="1" applyFont="1" applyFill="1" applyBorder="1" applyAlignment="1">
      <alignment horizontal="center" vertical="center"/>
    </xf>
    <xf numFmtId="164" fontId="21" fillId="9" borderId="53" xfId="1" applyNumberFormat="1" applyFont="1" applyFill="1" applyBorder="1" applyAlignment="1">
      <alignment horizontal="center" vertical="center"/>
    </xf>
    <xf numFmtId="0" fontId="3" fillId="10" borderId="54" xfId="1" applyFont="1" applyFill="1" applyBorder="1" applyAlignment="1">
      <alignment horizontal="center" vertical="center"/>
    </xf>
    <xf numFmtId="9" fontId="3" fillId="10" borderId="54" xfId="1" applyNumberFormat="1" applyFont="1" applyFill="1" applyBorder="1" applyAlignment="1">
      <alignment horizontal="center" vertical="center"/>
    </xf>
    <xf numFmtId="164" fontId="21" fillId="10" borderId="54" xfId="1" applyNumberFormat="1" applyFont="1" applyFill="1" applyBorder="1" applyAlignment="1">
      <alignment horizontal="center" vertical="center"/>
    </xf>
    <xf numFmtId="0" fontId="3" fillId="9" borderId="55" xfId="1" applyFont="1" applyFill="1" applyBorder="1" applyAlignment="1">
      <alignment horizontal="center" vertical="center"/>
    </xf>
    <xf numFmtId="0" fontId="3" fillId="25" borderId="49" xfId="3" applyNumberFormat="1" applyFont="1" applyFill="1" applyBorder="1" applyAlignment="1">
      <alignment horizontal="center" vertical="center"/>
    </xf>
    <xf numFmtId="0" fontId="3" fillId="9" borderId="49" xfId="3" applyNumberFormat="1" applyFont="1" applyFill="1" applyBorder="1" applyAlignment="1">
      <alignment horizontal="center" vertical="center"/>
    </xf>
    <xf numFmtId="0" fontId="3" fillId="9" borderId="55" xfId="3" applyNumberFormat="1" applyFont="1" applyFill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1" fontId="17" fillId="0" borderId="43" xfId="0" applyNumberFormat="1" applyFont="1" applyBorder="1" applyAlignment="1">
      <alignment horizontal="center" vertical="center"/>
    </xf>
    <xf numFmtId="0" fontId="3" fillId="0" borderId="43" xfId="4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0" xfId="0" applyFill="1" applyBorder="1" applyAlignment="1">
      <alignment vertical="center"/>
    </xf>
    <xf numFmtId="0" fontId="0" fillId="9" borderId="10" xfId="0" applyFill="1" applyBorder="1" applyAlignment="1">
      <alignment horizontal="center"/>
    </xf>
    <xf numFmtId="0" fontId="1" fillId="4" borderId="43" xfId="5" applyFont="1" applyFill="1" applyBorder="1" applyAlignment="1">
      <alignment horizontal="center" vertical="center" wrapText="1"/>
    </xf>
    <xf numFmtId="0" fontId="3" fillId="2" borderId="43" xfId="4" applyFont="1" applyFill="1" applyBorder="1" applyAlignment="1">
      <alignment horizontal="center" vertical="center"/>
    </xf>
    <xf numFmtId="1" fontId="3" fillId="2" borderId="43" xfId="0" applyNumberFormat="1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1" fontId="4" fillId="4" borderId="43" xfId="0" applyNumberFormat="1" applyFont="1" applyFill="1" applyBorder="1" applyAlignment="1">
      <alignment horizontal="center" vertical="center"/>
    </xf>
    <xf numFmtId="9" fontId="3" fillId="25" borderId="50" xfId="3" applyFont="1" applyFill="1" applyBorder="1" applyAlignment="1">
      <alignment horizontal="center" vertical="center"/>
    </xf>
    <xf numFmtId="9" fontId="21" fillId="25" borderId="50" xfId="3" applyFont="1" applyFill="1" applyBorder="1" applyAlignment="1">
      <alignment horizontal="center" vertical="center"/>
    </xf>
    <xf numFmtId="0" fontId="25" fillId="0" borderId="0" xfId="0" applyFont="1"/>
    <xf numFmtId="0" fontId="3" fillId="20" borderId="43" xfId="0" applyFont="1" applyFill="1" applyBorder="1" applyAlignment="1">
      <alignment horizontal="center" vertical="center"/>
    </xf>
    <xf numFmtId="0" fontId="26" fillId="20" borderId="43" xfId="0" applyFont="1" applyFill="1" applyBorder="1" applyAlignment="1">
      <alignment horizontal="center" vertical="center"/>
    </xf>
    <xf numFmtId="0" fontId="3" fillId="20" borderId="43" xfId="0" applyFont="1" applyFill="1" applyBorder="1" applyAlignment="1">
      <alignment horizontal="center" vertical="center" wrapText="1"/>
    </xf>
    <xf numFmtId="0" fontId="16" fillId="2" borderId="43" xfId="0" quotePrefix="1" applyFont="1" applyFill="1" applyBorder="1" applyAlignment="1">
      <alignment horizontal="center" vertical="center"/>
    </xf>
    <xf numFmtId="0" fontId="22" fillId="26" borderId="43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4" xfId="1" applyFont="1" applyFill="1" applyBorder="1" applyAlignment="1">
      <alignment horizontal="center" vertical="center"/>
    </xf>
    <xf numFmtId="0" fontId="3" fillId="15" borderId="6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/>
    </xf>
    <xf numFmtId="0" fontId="3" fillId="11" borderId="6" xfId="1" applyFont="1" applyFill="1" applyBorder="1" applyAlignment="1">
      <alignment horizontal="center" vertical="center"/>
    </xf>
    <xf numFmtId="1" fontId="17" fillId="27" borderId="5" xfId="0" applyNumberFormat="1" applyFont="1" applyFill="1" applyBorder="1" applyAlignment="1">
      <alignment horizontal="center" vertical="center"/>
    </xf>
    <xf numFmtId="0" fontId="17" fillId="27" borderId="5" xfId="0" applyFont="1" applyFill="1" applyBorder="1" applyAlignment="1">
      <alignment horizontal="center" vertical="center"/>
    </xf>
    <xf numFmtId="1" fontId="17" fillId="19" borderId="5" xfId="0" applyNumberFormat="1" applyFont="1" applyFill="1" applyBorder="1" applyAlignment="1">
      <alignment horizontal="center" vertical="center"/>
    </xf>
    <xf numFmtId="0" fontId="17" fillId="19" borderId="5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0" fontId="28" fillId="2" borderId="56" xfId="0" applyFont="1" applyFill="1" applyBorder="1" applyAlignment="1">
      <alignment horizontal="center" vertical="center"/>
    </xf>
    <xf numFmtId="0" fontId="28" fillId="0" borderId="56" xfId="0" applyFont="1" applyBorder="1" applyAlignment="1">
      <alignment horizontal="center"/>
    </xf>
    <xf numFmtId="0" fontId="28" fillId="0" borderId="56" xfId="0" applyFont="1" applyBorder="1"/>
    <xf numFmtId="0" fontId="3" fillId="16" borderId="4" xfId="1" applyFont="1" applyFill="1" applyBorder="1" applyAlignment="1">
      <alignment horizontal="center" vertical="center"/>
    </xf>
    <xf numFmtId="0" fontId="3" fillId="9" borderId="43" xfId="0" applyFont="1" applyFill="1" applyBorder="1" applyAlignment="1">
      <alignment horizontal="center" vertical="center"/>
    </xf>
    <xf numFmtId="0" fontId="5" fillId="9" borderId="43" xfId="0" applyFont="1" applyFill="1" applyBorder="1" applyAlignment="1">
      <alignment horizontal="center" vertical="center"/>
    </xf>
    <xf numFmtId="0" fontId="3" fillId="28" borderId="43" xfId="0" applyFont="1" applyFill="1" applyBorder="1" applyAlignment="1">
      <alignment horizontal="center" vertical="center"/>
    </xf>
    <xf numFmtId="0" fontId="28" fillId="28" borderId="56" xfId="0" applyFont="1" applyFill="1" applyBorder="1" applyAlignment="1">
      <alignment horizontal="center"/>
    </xf>
    <xf numFmtId="1" fontId="17" fillId="27" borderId="43" xfId="0" applyNumberFormat="1" applyFont="1" applyFill="1" applyBorder="1" applyAlignment="1">
      <alignment horizontal="center" vertical="center"/>
    </xf>
    <xf numFmtId="0" fontId="17" fillId="27" borderId="43" xfId="0" applyFont="1" applyFill="1" applyBorder="1" applyAlignment="1">
      <alignment horizontal="center" vertical="center"/>
    </xf>
    <xf numFmtId="1" fontId="17" fillId="19" borderId="43" xfId="0" applyNumberFormat="1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1" fontId="3" fillId="11" borderId="6" xfId="1" applyNumberFormat="1" applyFont="1" applyFill="1" applyBorder="1" applyAlignment="1">
      <alignment horizontal="center" vertical="center"/>
    </xf>
    <xf numFmtId="0" fontId="3" fillId="4" borderId="43" xfId="5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9" fontId="3" fillId="16" borderId="5" xfId="3" applyNumberFormat="1" applyFont="1" applyFill="1" applyBorder="1" applyAlignment="1">
      <alignment horizontal="center" vertical="center"/>
    </xf>
    <xf numFmtId="0" fontId="3" fillId="8" borderId="50" xfId="0" applyFont="1" applyFill="1" applyBorder="1" applyAlignment="1">
      <alignment horizontal="center" vertical="center" wrapText="1"/>
    </xf>
    <xf numFmtId="1" fontId="3" fillId="10" borderId="54" xfId="1" applyNumberFormat="1" applyFont="1" applyFill="1" applyBorder="1" applyAlignment="1">
      <alignment horizontal="center" vertical="center"/>
    </xf>
    <xf numFmtId="1" fontId="3" fillId="25" borderId="49" xfId="1" applyNumberFormat="1" applyFont="1" applyFill="1" applyBorder="1" applyAlignment="1">
      <alignment horizontal="center" vertical="center"/>
    </xf>
    <xf numFmtId="1" fontId="3" fillId="25" borderId="5" xfId="1" applyNumberFormat="1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24" fillId="9" borderId="0" xfId="0" applyFont="1" applyFill="1" applyBorder="1" applyAlignment="1">
      <alignment horizontal="center" vertical="center"/>
    </xf>
    <xf numFmtId="164" fontId="4" fillId="9" borderId="62" xfId="1" applyNumberFormat="1" applyFont="1" applyFill="1" applyBorder="1" applyAlignment="1">
      <alignment horizontal="center" vertical="center"/>
    </xf>
    <xf numFmtId="164" fontId="4" fillId="9" borderId="63" xfId="1" applyNumberFormat="1" applyFont="1" applyFill="1" applyBorder="1" applyAlignment="1">
      <alignment horizontal="center" vertical="center"/>
    </xf>
    <xf numFmtId="164" fontId="4" fillId="25" borderId="62" xfId="3" applyNumberFormat="1" applyFont="1" applyFill="1" applyBorder="1" applyAlignment="1">
      <alignment horizontal="center" vertical="center"/>
    </xf>
    <xf numFmtId="164" fontId="4" fillId="25" borderId="62" xfId="1" applyNumberFormat="1" applyFont="1" applyFill="1" applyBorder="1" applyAlignment="1">
      <alignment horizontal="center" vertical="center"/>
    </xf>
    <xf numFmtId="164" fontId="4" fillId="10" borderId="59" xfId="1" applyNumberFormat="1" applyFont="1" applyFill="1" applyBorder="1" applyAlignment="1">
      <alignment horizontal="center" vertical="center"/>
    </xf>
    <xf numFmtId="9" fontId="25" fillId="25" borderId="3" xfId="3" applyFont="1" applyFill="1" applyBorder="1" applyAlignment="1">
      <alignment horizontal="center" vertical="center"/>
    </xf>
    <xf numFmtId="9" fontId="25" fillId="9" borderId="3" xfId="1" applyNumberFormat="1" applyFont="1" applyFill="1" applyBorder="1" applyAlignment="1">
      <alignment horizontal="center" vertical="center"/>
    </xf>
    <xf numFmtId="9" fontId="25" fillId="25" borderId="3" xfId="1" applyNumberFormat="1" applyFont="1" applyFill="1" applyBorder="1" applyAlignment="1">
      <alignment horizontal="center" vertical="center"/>
    </xf>
    <xf numFmtId="164" fontId="25" fillId="25" borderId="3" xfId="1" applyNumberFormat="1" applyFont="1" applyFill="1" applyBorder="1" applyAlignment="1">
      <alignment horizontal="center" vertical="center"/>
    </xf>
    <xf numFmtId="9" fontId="25" fillId="9" borderId="10" xfId="1" applyNumberFormat="1" applyFont="1" applyFill="1" applyBorder="1" applyAlignment="1">
      <alignment horizontal="center" vertical="center"/>
    </xf>
    <xf numFmtId="164" fontId="25" fillId="10" borderId="60" xfId="1" applyNumberFormat="1" applyFont="1" applyFill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9" fillId="9" borderId="25" xfId="0" applyFont="1" applyFill="1" applyBorder="1" applyAlignment="1">
      <alignment horizontal="center" vertical="center"/>
    </xf>
    <xf numFmtId="0" fontId="9" fillId="9" borderId="24" xfId="0" applyFont="1" applyFill="1" applyBorder="1" applyAlignment="1">
      <alignment horizontal="center" vertical="center"/>
    </xf>
    <xf numFmtId="0" fontId="9" fillId="9" borderId="28" xfId="0" applyFont="1" applyFill="1" applyBorder="1" applyAlignment="1">
      <alignment horizontal="center" vertical="center"/>
    </xf>
    <xf numFmtId="0" fontId="9" fillId="9" borderId="29" xfId="0" applyFont="1" applyFill="1" applyBorder="1" applyAlignment="1">
      <alignment horizontal="center" vertical="center"/>
    </xf>
    <xf numFmtId="0" fontId="9" fillId="9" borderId="30" xfId="0" applyFont="1" applyFill="1" applyBorder="1" applyAlignment="1">
      <alignment horizontal="center" vertical="center"/>
    </xf>
    <xf numFmtId="0" fontId="3" fillId="8" borderId="64" xfId="0" applyFont="1" applyFill="1" applyBorder="1" applyAlignment="1">
      <alignment horizontal="center" vertical="center"/>
    </xf>
    <xf numFmtId="0" fontId="3" fillId="8" borderId="47" xfId="0" applyFont="1" applyFill="1" applyBorder="1" applyAlignment="1">
      <alignment horizontal="center" vertical="center"/>
    </xf>
    <xf numFmtId="0" fontId="3" fillId="8" borderId="46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45" xfId="0" applyFont="1" applyFill="1" applyBorder="1" applyAlignment="1">
      <alignment horizontal="center" vertical="center" wrapText="1"/>
    </xf>
    <xf numFmtId="0" fontId="3" fillId="8" borderId="48" xfId="0" applyFont="1" applyFill="1" applyBorder="1" applyAlignment="1">
      <alignment horizontal="center" vertical="center" wrapText="1"/>
    </xf>
    <xf numFmtId="0" fontId="3" fillId="8" borderId="65" xfId="0" applyFont="1" applyFill="1" applyBorder="1" applyAlignment="1">
      <alignment horizontal="center" vertical="center" wrapText="1"/>
    </xf>
    <xf numFmtId="0" fontId="3" fillId="8" borderId="4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/>
    </xf>
    <xf numFmtId="0" fontId="3" fillId="8" borderId="67" xfId="0" applyFont="1" applyFill="1" applyBorder="1" applyAlignment="1">
      <alignment horizontal="center" vertical="center"/>
    </xf>
    <xf numFmtId="0" fontId="3" fillId="8" borderId="66" xfId="0" applyFont="1" applyFill="1" applyBorder="1" applyAlignment="1">
      <alignment horizontal="center" vertical="center" wrapText="1"/>
    </xf>
    <xf numFmtId="0" fontId="3" fillId="8" borderId="61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7" borderId="46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7" borderId="47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3" fillId="13" borderId="6" xfId="1" applyFont="1" applyFill="1" applyBorder="1" applyAlignment="1">
      <alignment horizontal="center" vertical="center"/>
    </xf>
    <xf numFmtId="0" fontId="3" fillId="13" borderId="12" xfId="1" applyFont="1" applyFill="1" applyBorder="1" applyAlignment="1">
      <alignment horizontal="center" vertical="center"/>
    </xf>
    <xf numFmtId="0" fontId="3" fillId="13" borderId="13" xfId="1" applyFont="1" applyFill="1" applyBorder="1" applyAlignment="1">
      <alignment horizontal="center" vertical="center"/>
    </xf>
    <xf numFmtId="0" fontId="3" fillId="13" borderId="18" xfId="1" applyFont="1" applyFill="1" applyBorder="1" applyAlignment="1">
      <alignment horizontal="center" vertical="center"/>
    </xf>
    <xf numFmtId="0" fontId="3" fillId="13" borderId="19" xfId="1" applyFont="1" applyFill="1" applyBorder="1" applyAlignment="1">
      <alignment horizontal="center" vertical="center"/>
    </xf>
    <xf numFmtId="0" fontId="3" fillId="16" borderId="2" xfId="1" applyFont="1" applyFill="1" applyBorder="1" applyAlignment="1">
      <alignment horizontal="center" vertical="center"/>
    </xf>
    <xf numFmtId="0" fontId="3" fillId="16" borderId="4" xfId="1" applyFont="1" applyFill="1" applyBorder="1" applyAlignment="1">
      <alignment horizontal="center" vertical="center"/>
    </xf>
    <xf numFmtId="0" fontId="3" fillId="12" borderId="9" xfId="1" applyFont="1" applyFill="1" applyBorder="1" applyAlignment="1">
      <alignment horizontal="center" vertical="center"/>
    </xf>
    <xf numFmtId="0" fontId="3" fillId="12" borderId="10" xfId="1" applyFont="1" applyFill="1" applyBorder="1" applyAlignment="1">
      <alignment horizontal="center" vertical="center"/>
    </xf>
    <xf numFmtId="0" fontId="3" fillId="12" borderId="11" xfId="1" applyFont="1" applyFill="1" applyBorder="1" applyAlignment="1">
      <alignment horizontal="center" vertical="center"/>
    </xf>
    <xf numFmtId="0" fontId="3" fillId="7" borderId="16" xfId="1" applyFont="1" applyFill="1" applyBorder="1" applyAlignment="1">
      <alignment horizontal="center" vertical="center"/>
    </xf>
    <xf numFmtId="0" fontId="3" fillId="7" borderId="17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4" xfId="1" applyFont="1" applyFill="1" applyBorder="1" applyAlignment="1">
      <alignment horizontal="center" vertical="center"/>
    </xf>
    <xf numFmtId="10" fontId="3" fillId="13" borderId="2" xfId="3" applyNumberFormat="1" applyFont="1" applyFill="1" applyBorder="1" applyAlignment="1">
      <alignment horizontal="center" vertical="center"/>
    </xf>
    <xf numFmtId="10" fontId="3" fillId="13" borderId="4" xfId="3" applyNumberFormat="1" applyFont="1" applyFill="1" applyBorder="1" applyAlignment="1">
      <alignment horizontal="center" vertical="center"/>
    </xf>
    <xf numFmtId="164" fontId="3" fillId="13" borderId="2" xfId="3" applyNumberFormat="1" applyFont="1" applyFill="1" applyBorder="1" applyAlignment="1">
      <alignment horizontal="center" vertical="center"/>
    </xf>
    <xf numFmtId="164" fontId="3" fillId="13" borderId="4" xfId="3" applyNumberFormat="1" applyFont="1" applyFill="1" applyBorder="1" applyAlignment="1">
      <alignment horizontal="center" vertical="center"/>
    </xf>
    <xf numFmtId="0" fontId="5" fillId="16" borderId="4" xfId="1" applyFont="1" applyFill="1" applyBorder="1" applyAlignment="1">
      <alignment horizontal="center" vertical="center"/>
    </xf>
    <xf numFmtId="0" fontId="5" fillId="14" borderId="2" xfId="1" applyFont="1" applyFill="1" applyBorder="1" applyAlignment="1">
      <alignment horizontal="center" vertical="center"/>
    </xf>
    <xf numFmtId="0" fontId="5" fillId="14" borderId="3" xfId="1" applyFont="1" applyFill="1" applyBorder="1" applyAlignment="1">
      <alignment horizontal="center" vertical="center"/>
    </xf>
    <xf numFmtId="0" fontId="5" fillId="14" borderId="4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0" fontId="5" fillId="6" borderId="6" xfId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5" fillId="10" borderId="1" xfId="1" applyFont="1" applyFill="1" applyBorder="1" applyAlignment="1">
      <alignment horizontal="center" vertical="center"/>
    </xf>
    <xf numFmtId="0" fontId="5" fillId="10" borderId="6" xfId="1" applyFont="1" applyFill="1" applyBorder="1" applyAlignment="1">
      <alignment horizontal="center" vertical="center"/>
    </xf>
    <xf numFmtId="0" fontId="5" fillId="14" borderId="10" xfId="1" applyFont="1" applyFill="1" applyBorder="1" applyAlignment="1">
      <alignment horizontal="center" vertical="center"/>
    </xf>
    <xf numFmtId="0" fontId="15" fillId="24" borderId="44" xfId="6" applyAlignment="1">
      <alignment horizontal="center" vertical="center"/>
    </xf>
    <xf numFmtId="0" fontId="15" fillId="24" borderId="58" xfId="6" applyBorder="1" applyAlignment="1">
      <alignment horizontal="center" vertical="center"/>
    </xf>
    <xf numFmtId="0" fontId="5" fillId="14" borderId="0" xfId="1" applyFont="1" applyFill="1" applyAlignment="1">
      <alignment horizontal="center" vertical="center"/>
    </xf>
    <xf numFmtId="0" fontId="3" fillId="16" borderId="3" xfId="1" applyFont="1" applyFill="1" applyBorder="1" applyAlignment="1">
      <alignment horizontal="center" vertical="center"/>
    </xf>
    <xf numFmtId="0" fontId="5" fillId="16" borderId="3" xfId="1" applyFont="1" applyFill="1" applyBorder="1" applyAlignment="1">
      <alignment horizontal="center" vertical="center"/>
    </xf>
    <xf numFmtId="0" fontId="3" fillId="7" borderId="24" xfId="1" applyFont="1" applyFill="1" applyBorder="1" applyAlignment="1">
      <alignment horizontal="center" vertical="center"/>
    </xf>
    <xf numFmtId="0" fontId="3" fillId="12" borderId="21" xfId="1" applyFont="1" applyFill="1" applyBorder="1" applyAlignment="1">
      <alignment horizontal="center" vertical="center"/>
    </xf>
    <xf numFmtId="0" fontId="3" fillId="12" borderId="22" xfId="1" applyFont="1" applyFill="1" applyBorder="1" applyAlignment="1">
      <alignment horizontal="center" vertical="center"/>
    </xf>
    <xf numFmtId="0" fontId="3" fillId="12" borderId="23" xfId="1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0" fontId="3" fillId="11" borderId="5" xfId="1" applyFont="1" applyFill="1" applyBorder="1" applyAlignment="1">
      <alignment horizontal="center" vertical="center"/>
    </xf>
    <xf numFmtId="0" fontId="3" fillId="11" borderId="35" xfId="1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3" fillId="7" borderId="0" xfId="0" applyFont="1" applyFill="1" applyAlignment="1">
      <alignment horizontal="center" vertical="center"/>
    </xf>
    <xf numFmtId="0" fontId="13" fillId="7" borderId="33" xfId="0" applyFont="1" applyFill="1" applyBorder="1" applyAlignment="1">
      <alignment horizontal="center" vertical="center"/>
    </xf>
    <xf numFmtId="0" fontId="13" fillId="7" borderId="20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13" fillId="7" borderId="34" xfId="0" applyFont="1" applyFill="1" applyBorder="1" applyAlignment="1">
      <alignment horizontal="center" vertical="center"/>
    </xf>
    <xf numFmtId="0" fontId="3" fillId="15" borderId="14" xfId="1" applyFont="1" applyFill="1" applyBorder="1" applyAlignment="1">
      <alignment horizontal="center" vertical="center"/>
    </xf>
    <xf numFmtId="0" fontId="3" fillId="15" borderId="13" xfId="1" applyFont="1" applyFill="1" applyBorder="1" applyAlignment="1">
      <alignment horizontal="center" vertical="center"/>
    </xf>
    <xf numFmtId="164" fontId="3" fillId="11" borderId="2" xfId="1" applyNumberFormat="1" applyFont="1" applyFill="1" applyBorder="1" applyAlignment="1">
      <alignment horizontal="center" vertical="center"/>
    </xf>
    <xf numFmtId="164" fontId="3" fillId="11" borderId="3" xfId="1" applyNumberFormat="1" applyFont="1" applyFill="1" applyBorder="1" applyAlignment="1">
      <alignment horizontal="center" vertical="center"/>
    </xf>
    <xf numFmtId="164" fontId="3" fillId="11" borderId="4" xfId="1" applyNumberFormat="1" applyFont="1" applyFill="1" applyBorder="1" applyAlignment="1">
      <alignment horizontal="center" vertical="center"/>
    </xf>
    <xf numFmtId="164" fontId="3" fillId="15" borderId="2" xfId="1" applyNumberFormat="1" applyFont="1" applyFill="1" applyBorder="1" applyAlignment="1">
      <alignment horizontal="center" vertical="center"/>
    </xf>
    <xf numFmtId="164" fontId="3" fillId="15" borderId="3" xfId="1" applyNumberFormat="1" applyFont="1" applyFill="1" applyBorder="1" applyAlignment="1">
      <alignment horizontal="center" vertical="center"/>
    </xf>
    <xf numFmtId="164" fontId="3" fillId="15" borderId="4" xfId="1" applyNumberFormat="1" applyFont="1" applyFill="1" applyBorder="1" applyAlignment="1">
      <alignment horizontal="center" vertical="center"/>
    </xf>
    <xf numFmtId="0" fontId="22" fillId="20" borderId="9" xfId="0" applyFont="1" applyFill="1" applyBorder="1" applyAlignment="1">
      <alignment horizontal="center" vertical="center"/>
    </xf>
    <xf numFmtId="0" fontId="22" fillId="20" borderId="10" xfId="0" applyFont="1" applyFill="1" applyBorder="1" applyAlignment="1">
      <alignment horizontal="center" vertical="center"/>
    </xf>
    <xf numFmtId="0" fontId="22" fillId="20" borderId="11" xfId="0" applyFont="1" applyFill="1" applyBorder="1" applyAlignment="1">
      <alignment horizontal="center" vertical="center"/>
    </xf>
    <xf numFmtId="0" fontId="22" fillId="20" borderId="12" xfId="0" applyFont="1" applyFill="1" applyBorder="1" applyAlignment="1">
      <alignment horizontal="center" vertical="center"/>
    </xf>
    <xf numFmtId="0" fontId="22" fillId="20" borderId="8" xfId="0" applyFont="1" applyFill="1" applyBorder="1" applyAlignment="1">
      <alignment horizontal="center" vertical="center"/>
    </xf>
    <xf numFmtId="0" fontId="22" fillId="20" borderId="13" xfId="0" applyFont="1" applyFill="1" applyBorder="1" applyAlignment="1">
      <alignment horizontal="center" vertical="center"/>
    </xf>
    <xf numFmtId="0" fontId="23" fillId="9" borderId="16" xfId="0" applyFont="1" applyFill="1" applyBorder="1" applyAlignment="1">
      <alignment horizontal="center" vertical="center"/>
    </xf>
    <xf numFmtId="0" fontId="23" fillId="9" borderId="25" xfId="0" applyFont="1" applyFill="1" applyBorder="1" applyAlignment="1">
      <alignment horizontal="center" vertical="center"/>
    </xf>
    <xf numFmtId="0" fontId="23" fillId="9" borderId="24" xfId="0" applyFont="1" applyFill="1" applyBorder="1" applyAlignment="1">
      <alignment horizontal="center" vertical="center"/>
    </xf>
    <xf numFmtId="0" fontId="23" fillId="9" borderId="26" xfId="0" applyFont="1" applyFill="1" applyBorder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23" fillId="9" borderId="27" xfId="0" applyFont="1" applyFill="1" applyBorder="1" applyAlignment="1">
      <alignment horizontal="center" vertical="center"/>
    </xf>
    <xf numFmtId="0" fontId="23" fillId="9" borderId="28" xfId="0" applyFont="1" applyFill="1" applyBorder="1" applyAlignment="1">
      <alignment horizontal="center" vertical="center"/>
    </xf>
    <xf numFmtId="0" fontId="23" fillId="9" borderId="29" xfId="0" applyFont="1" applyFill="1" applyBorder="1" applyAlignment="1">
      <alignment horizontal="center" vertical="center"/>
    </xf>
    <xf numFmtId="0" fontId="23" fillId="9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/>
    </xf>
    <xf numFmtId="0" fontId="6" fillId="7" borderId="33" xfId="0" applyFont="1" applyFill="1" applyBorder="1" applyAlignment="1">
      <alignment horizontal="center" vertical="center"/>
    </xf>
    <xf numFmtId="0" fontId="6" fillId="7" borderId="34" xfId="0" applyFont="1" applyFill="1" applyBorder="1" applyAlignment="1">
      <alignment horizontal="center" vertical="center"/>
    </xf>
    <xf numFmtId="0" fontId="5" fillId="9" borderId="41" xfId="0" applyFont="1" applyFill="1" applyBorder="1" applyAlignment="1">
      <alignment horizontal="center" vertical="center"/>
    </xf>
    <xf numFmtId="0" fontId="5" fillId="9" borderId="42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19" fillId="23" borderId="38" xfId="0" applyFont="1" applyFill="1" applyBorder="1" applyAlignment="1">
      <alignment horizontal="center" vertical="center"/>
    </xf>
    <xf numFmtId="0" fontId="19" fillId="23" borderId="39" xfId="0" applyFont="1" applyFill="1" applyBorder="1" applyAlignment="1">
      <alignment horizontal="center" vertical="center"/>
    </xf>
    <xf numFmtId="0" fontId="19" fillId="23" borderId="40" xfId="0" applyFont="1" applyFill="1" applyBorder="1" applyAlignment="1">
      <alignment horizontal="center" vertical="center"/>
    </xf>
    <xf numFmtId="0" fontId="5" fillId="9" borderId="57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22" fillId="6" borderId="43" xfId="0" applyFont="1" applyFill="1" applyBorder="1" applyAlignment="1">
      <alignment horizontal="center" vertical="center"/>
    </xf>
  </cellXfs>
  <cellStyles count="7">
    <cellStyle name="Bad" xfId="4" builtinId="27"/>
    <cellStyle name="Check Cell" xfId="6" builtinId="23"/>
    <cellStyle name="Neutral" xfId="5" builtinId="28"/>
    <cellStyle name="Normal" xfId="0" builtinId="0"/>
    <cellStyle name="Normal 2" xfId="1"/>
    <cellStyle name="Percent" xfId="3" builtinId="5"/>
    <cellStyle name="عادي 2" xfId="2"/>
  </cellStyles>
  <dxfs count="0"/>
  <tableStyles count="0" defaultTableStyle="TableStyleMedium9" defaultPivotStyle="PivotStyleLight16"/>
  <colors>
    <mruColors>
      <color rgb="FFFBAFAF"/>
      <color rgb="FFFFCC66"/>
      <color rgb="FF89EC6E"/>
      <color rgb="FFFFFFCC"/>
      <color rgb="FFF7FECE"/>
      <color rgb="FFFDFFE7"/>
      <color rgb="FFF1FEE2"/>
      <color rgb="FFECF7FE"/>
      <color rgb="FFFFCCCC"/>
      <color rgb="FFF8E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T67"/>
  <sheetViews>
    <sheetView rightToLeft="1" tabSelected="1" zoomScale="90" zoomScaleNormal="90" workbookViewId="0">
      <selection activeCell="C1" sqref="C1"/>
    </sheetView>
  </sheetViews>
  <sheetFormatPr defaultRowHeight="14.5" x14ac:dyDescent="0.35"/>
  <cols>
    <col min="1" max="1" width="15.7265625" customWidth="1"/>
    <col min="2" max="17" width="12.7265625" customWidth="1"/>
  </cols>
  <sheetData>
    <row r="1" spans="1:20" ht="15" thickBot="1" x14ac:dyDescent="0.4"/>
    <row r="2" spans="1:20" ht="20.149999999999999" customHeight="1" x14ac:dyDescent="0.35">
      <c r="A2" s="207" t="s">
        <v>287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9"/>
    </row>
    <row r="3" spans="1:20" ht="20.149999999999999" customHeight="1" thickBot="1" x14ac:dyDescent="0.4">
      <c r="A3" s="210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/>
    </row>
    <row r="4" spans="1:20" ht="27" customHeight="1" x14ac:dyDescent="0.35">
      <c r="A4" s="213" t="s">
        <v>19</v>
      </c>
      <c r="B4" s="215" t="s">
        <v>78</v>
      </c>
      <c r="C4" s="216"/>
      <c r="D4" s="216"/>
      <c r="E4" s="214"/>
      <c r="F4" s="217" t="s">
        <v>79</v>
      </c>
      <c r="G4" s="219" t="s">
        <v>80</v>
      </c>
      <c r="H4" s="225" t="s">
        <v>81</v>
      </c>
      <c r="I4" s="223" t="s">
        <v>93</v>
      </c>
      <c r="J4" s="227" t="s">
        <v>285</v>
      </c>
      <c r="K4" s="229" t="s">
        <v>98</v>
      </c>
      <c r="L4" s="221" t="s">
        <v>69</v>
      </c>
      <c r="M4" s="221"/>
      <c r="N4" s="221"/>
      <c r="O4" s="222"/>
    </row>
    <row r="5" spans="1:20" ht="27" customHeight="1" x14ac:dyDescent="0.35">
      <c r="A5" s="214"/>
      <c r="B5" s="106" t="s">
        <v>82</v>
      </c>
      <c r="C5" s="4" t="s">
        <v>83</v>
      </c>
      <c r="D5" s="4" t="s">
        <v>84</v>
      </c>
      <c r="E5" s="107" t="s">
        <v>1</v>
      </c>
      <c r="F5" s="218"/>
      <c r="G5" s="220"/>
      <c r="H5" s="226"/>
      <c r="I5" s="224"/>
      <c r="J5" s="228"/>
      <c r="K5" s="230"/>
      <c r="L5" s="105" t="s">
        <v>85</v>
      </c>
      <c r="M5" s="4" t="s">
        <v>86</v>
      </c>
      <c r="N5" s="104" t="s">
        <v>87</v>
      </c>
      <c r="O5" s="190" t="s">
        <v>286</v>
      </c>
      <c r="T5" s="124"/>
    </row>
    <row r="6" spans="1:20" ht="20.149999999999999" customHeight="1" x14ac:dyDescent="0.35">
      <c r="A6" s="108" t="s">
        <v>88</v>
      </c>
      <c r="B6" s="110">
        <v>4</v>
      </c>
      <c r="C6" s="111">
        <v>7</v>
      </c>
      <c r="D6" s="111">
        <v>24</v>
      </c>
      <c r="E6" s="112">
        <f t="shared" ref="E6:E26" si="0">SUM(B6:D6)</f>
        <v>35</v>
      </c>
      <c r="F6" s="109">
        <v>437</v>
      </c>
      <c r="G6" s="110">
        <v>62575</v>
      </c>
      <c r="H6" s="201">
        <v>0.59995205753096281</v>
      </c>
      <c r="I6" s="198">
        <v>8.8357970435477426E-2</v>
      </c>
      <c r="J6" s="137">
        <v>153</v>
      </c>
      <c r="K6" s="152">
        <v>0.4031484737094454</v>
      </c>
      <c r="L6" s="110">
        <v>100496</v>
      </c>
      <c r="M6" s="111">
        <v>59520</v>
      </c>
      <c r="N6" s="121">
        <v>1999</v>
      </c>
      <c r="O6" s="153">
        <v>1.9891338958764528E-2</v>
      </c>
      <c r="T6" s="124"/>
    </row>
    <row r="7" spans="1:20" ht="20.149999999999999" customHeight="1" x14ac:dyDescent="0.35">
      <c r="A7" s="113" t="s">
        <v>53</v>
      </c>
      <c r="B7" s="115">
        <v>1</v>
      </c>
      <c r="C7" s="1">
        <v>15</v>
      </c>
      <c r="D7" s="1">
        <v>5</v>
      </c>
      <c r="E7" s="116">
        <f t="shared" si="0"/>
        <v>21</v>
      </c>
      <c r="F7" s="114">
        <v>116</v>
      </c>
      <c r="G7" s="115">
        <v>25742</v>
      </c>
      <c r="H7" s="202">
        <v>0.61875534146530964</v>
      </c>
      <c r="I7" s="196">
        <v>1.5616502214280166E-2</v>
      </c>
      <c r="J7" s="138">
        <v>27</v>
      </c>
      <c r="K7" s="117">
        <v>6.7805123053741839E-2</v>
      </c>
      <c r="L7" s="115">
        <v>26828</v>
      </c>
      <c r="M7" s="1">
        <v>22950</v>
      </c>
      <c r="N7" s="118">
        <v>1539</v>
      </c>
      <c r="O7" s="119">
        <v>5.7365439093484419E-2</v>
      </c>
      <c r="T7" s="124"/>
    </row>
    <row r="8" spans="1:20" ht="20.149999999999999" customHeight="1" x14ac:dyDescent="0.35">
      <c r="A8" s="108" t="s">
        <v>89</v>
      </c>
      <c r="B8" s="110">
        <v>1</v>
      </c>
      <c r="C8" s="111">
        <v>6</v>
      </c>
      <c r="D8" s="111">
        <v>3</v>
      </c>
      <c r="E8" s="112">
        <f t="shared" si="0"/>
        <v>10</v>
      </c>
      <c r="F8" s="109">
        <v>198</v>
      </c>
      <c r="G8" s="110">
        <v>39130</v>
      </c>
      <c r="H8" s="203">
        <v>0.81280347559417332</v>
      </c>
      <c r="I8" s="199">
        <v>3.6647073856376181E-2</v>
      </c>
      <c r="J8" s="137">
        <v>66</v>
      </c>
      <c r="K8" s="120">
        <v>9.4073258921553216E-2</v>
      </c>
      <c r="L8" s="110">
        <v>36623</v>
      </c>
      <c r="M8" s="111">
        <v>45904</v>
      </c>
      <c r="N8" s="121">
        <v>1718</v>
      </c>
      <c r="O8" s="122">
        <v>4.6910411490047238E-2</v>
      </c>
      <c r="T8" s="124"/>
    </row>
    <row r="9" spans="1:20" ht="20.149999999999999" customHeight="1" x14ac:dyDescent="0.35">
      <c r="A9" s="113" t="s">
        <v>70</v>
      </c>
      <c r="B9" s="115">
        <v>1</v>
      </c>
      <c r="C9" s="1">
        <v>4</v>
      </c>
      <c r="D9" s="1">
        <v>12</v>
      </c>
      <c r="E9" s="116">
        <f t="shared" si="0"/>
        <v>17</v>
      </c>
      <c r="F9" s="114">
        <v>173</v>
      </c>
      <c r="G9" s="115">
        <v>40123</v>
      </c>
      <c r="H9" s="202">
        <v>0.91249408070184179</v>
      </c>
      <c r="I9" s="196">
        <v>4.8451013134611073E-2</v>
      </c>
      <c r="J9" s="138">
        <v>362</v>
      </c>
      <c r="K9" s="117">
        <v>0.60010379110674095</v>
      </c>
      <c r="L9" s="115">
        <v>38596</v>
      </c>
      <c r="M9" s="1">
        <v>42074</v>
      </c>
      <c r="N9" s="118">
        <v>2272</v>
      </c>
      <c r="O9" s="119">
        <v>5.886620375168411E-2</v>
      </c>
      <c r="T9" s="124"/>
    </row>
    <row r="10" spans="1:20" ht="20.149999999999999" customHeight="1" x14ac:dyDescent="0.35">
      <c r="A10" s="108" t="s">
        <v>55</v>
      </c>
      <c r="B10" s="110">
        <v>1</v>
      </c>
      <c r="C10" s="111">
        <v>4</v>
      </c>
      <c r="D10" s="111">
        <v>13</v>
      </c>
      <c r="E10" s="112">
        <f t="shared" si="0"/>
        <v>18</v>
      </c>
      <c r="F10" s="109">
        <v>252</v>
      </c>
      <c r="G10" s="110">
        <v>34799</v>
      </c>
      <c r="H10" s="203">
        <v>0.5842696629213483</v>
      </c>
      <c r="I10" s="199">
        <v>1.255783212161269E-2</v>
      </c>
      <c r="J10" s="137">
        <v>75</v>
      </c>
      <c r="K10" s="120">
        <v>0.25978752705095415</v>
      </c>
      <c r="L10" s="110">
        <v>46066</v>
      </c>
      <c r="M10" s="111">
        <v>41115</v>
      </c>
      <c r="N10" s="121">
        <v>2633</v>
      </c>
      <c r="O10" s="122">
        <v>5.7157122389614901E-2</v>
      </c>
      <c r="T10" s="124"/>
    </row>
    <row r="11" spans="1:20" ht="20.149999999999999" customHeight="1" x14ac:dyDescent="0.35">
      <c r="A11" s="113" t="s">
        <v>56</v>
      </c>
      <c r="B11" s="115">
        <v>1</v>
      </c>
      <c r="C11" s="1">
        <v>7</v>
      </c>
      <c r="D11" s="1">
        <v>0</v>
      </c>
      <c r="E11" s="116">
        <f t="shared" si="0"/>
        <v>8</v>
      </c>
      <c r="F11" s="114">
        <v>111</v>
      </c>
      <c r="G11" s="115">
        <v>19467</v>
      </c>
      <c r="H11" s="202">
        <v>0.80613345661889346</v>
      </c>
      <c r="I11" s="196">
        <v>4.6745774901114701E-2</v>
      </c>
      <c r="J11" s="138">
        <v>376</v>
      </c>
      <c r="K11" s="117">
        <v>0.31829478111259796</v>
      </c>
      <c r="L11" s="115">
        <v>20470</v>
      </c>
      <c r="M11" s="1">
        <v>15152</v>
      </c>
      <c r="N11" s="118">
        <v>679</v>
      </c>
      <c r="O11" s="119">
        <v>3.3170493404982904E-2</v>
      </c>
      <c r="T11" s="124"/>
    </row>
    <row r="12" spans="1:20" ht="20.149999999999999" customHeight="1" x14ac:dyDescent="0.35">
      <c r="A12" s="108" t="s">
        <v>57</v>
      </c>
      <c r="B12" s="110">
        <v>1</v>
      </c>
      <c r="C12" s="111">
        <v>4</v>
      </c>
      <c r="D12" s="111">
        <v>9</v>
      </c>
      <c r="E12" s="112">
        <f t="shared" si="0"/>
        <v>14</v>
      </c>
      <c r="F12" s="109">
        <v>69</v>
      </c>
      <c r="G12" s="110">
        <v>10788</v>
      </c>
      <c r="H12" s="203">
        <v>0.99239896180941789</v>
      </c>
      <c r="I12" s="199">
        <v>1.9187986651835374E-2</v>
      </c>
      <c r="J12" s="137">
        <v>23</v>
      </c>
      <c r="K12" s="120">
        <v>6.0713618531664487E-2</v>
      </c>
      <c r="L12" s="110">
        <v>9132</v>
      </c>
      <c r="M12" s="111">
        <v>7854</v>
      </c>
      <c r="N12" s="121">
        <v>202</v>
      </c>
      <c r="O12" s="122">
        <v>2.2120017520805956E-2</v>
      </c>
      <c r="T12" s="124"/>
    </row>
    <row r="13" spans="1:20" ht="20.149999999999999" customHeight="1" x14ac:dyDescent="0.35">
      <c r="A13" s="113" t="s">
        <v>90</v>
      </c>
      <c r="B13" s="115">
        <v>1</v>
      </c>
      <c r="C13" s="1">
        <v>14</v>
      </c>
      <c r="D13" s="1">
        <v>4</v>
      </c>
      <c r="E13" s="116">
        <f t="shared" si="0"/>
        <v>19</v>
      </c>
      <c r="F13" s="114">
        <v>136</v>
      </c>
      <c r="G13" s="115">
        <v>35946</v>
      </c>
      <c r="H13" s="202">
        <v>0.68622378011461638</v>
      </c>
      <c r="I13" s="196">
        <v>0.22817559672842597</v>
      </c>
      <c r="J13" s="138">
        <v>116</v>
      </c>
      <c r="K13" s="117">
        <v>0.41342684558316778</v>
      </c>
      <c r="L13" s="115">
        <v>34656</v>
      </c>
      <c r="M13" s="1">
        <v>32511</v>
      </c>
      <c r="N13" s="118">
        <v>683</v>
      </c>
      <c r="O13" s="119">
        <v>1.9707987072945521E-2</v>
      </c>
      <c r="T13" s="124"/>
    </row>
    <row r="14" spans="1:20" ht="20.149999999999999" customHeight="1" x14ac:dyDescent="0.35">
      <c r="A14" s="108" t="s">
        <v>72</v>
      </c>
      <c r="B14" s="110">
        <v>1</v>
      </c>
      <c r="C14" s="111">
        <v>5</v>
      </c>
      <c r="D14" s="111">
        <v>4</v>
      </c>
      <c r="E14" s="112">
        <f t="shared" si="0"/>
        <v>10</v>
      </c>
      <c r="F14" s="109">
        <v>72</v>
      </c>
      <c r="G14" s="110">
        <v>12106</v>
      </c>
      <c r="H14" s="203">
        <v>0.90046258053857586</v>
      </c>
      <c r="I14" s="199">
        <v>4.0723608128200896E-2</v>
      </c>
      <c r="J14" s="137">
        <v>65</v>
      </c>
      <c r="K14" s="120">
        <v>0.24135400421979636</v>
      </c>
      <c r="L14" s="110">
        <v>11977</v>
      </c>
      <c r="M14" s="111">
        <v>11058</v>
      </c>
      <c r="N14" s="121">
        <v>102</v>
      </c>
      <c r="O14" s="122">
        <v>8.5163229523252896E-3</v>
      </c>
      <c r="T14" s="124"/>
    </row>
    <row r="15" spans="1:20" ht="20.149999999999999" customHeight="1" x14ac:dyDescent="0.35">
      <c r="A15" s="113" t="s">
        <v>58</v>
      </c>
      <c r="B15" s="115">
        <v>1</v>
      </c>
      <c r="C15" s="1">
        <v>3</v>
      </c>
      <c r="D15" s="1">
        <v>4</v>
      </c>
      <c r="E15" s="116">
        <f t="shared" si="0"/>
        <v>8</v>
      </c>
      <c r="F15" s="114">
        <v>44</v>
      </c>
      <c r="G15" s="115">
        <v>6263</v>
      </c>
      <c r="H15" s="202">
        <v>0.93325882165096596</v>
      </c>
      <c r="I15" s="196">
        <v>1.3092767044547341E-2</v>
      </c>
      <c r="J15" s="138">
        <v>20</v>
      </c>
      <c r="K15" s="117">
        <v>0.21556886227544911</v>
      </c>
      <c r="L15" s="115">
        <v>8166</v>
      </c>
      <c r="M15" s="1">
        <v>6941</v>
      </c>
      <c r="N15" s="118">
        <v>691</v>
      </c>
      <c r="O15" s="119">
        <v>8.4619152583884402E-2</v>
      </c>
      <c r="T15" s="124"/>
    </row>
    <row r="16" spans="1:20" ht="20.149999999999999" customHeight="1" x14ac:dyDescent="0.35">
      <c r="A16" s="108" t="s">
        <v>59</v>
      </c>
      <c r="B16" s="110">
        <v>1</v>
      </c>
      <c r="C16" s="111">
        <v>4</v>
      </c>
      <c r="D16" s="111">
        <v>1</v>
      </c>
      <c r="E16" s="112">
        <f t="shared" si="0"/>
        <v>6</v>
      </c>
      <c r="F16" s="109">
        <v>83</v>
      </c>
      <c r="G16" s="110">
        <v>7847</v>
      </c>
      <c r="H16" s="203">
        <v>0.79762966738881103</v>
      </c>
      <c r="I16" s="199">
        <v>2.2556390977443608E-2</v>
      </c>
      <c r="J16" s="137">
        <v>41</v>
      </c>
      <c r="K16" s="120">
        <v>9.68205783671513E-2</v>
      </c>
      <c r="L16" s="110">
        <v>5936</v>
      </c>
      <c r="M16" s="111">
        <v>7142</v>
      </c>
      <c r="N16" s="121">
        <v>618</v>
      </c>
      <c r="O16" s="122">
        <v>0.10411051212938005</v>
      </c>
      <c r="T16" s="124"/>
    </row>
    <row r="17" spans="1:20" ht="20.149999999999999" customHeight="1" x14ac:dyDescent="0.35">
      <c r="A17" s="113" t="s">
        <v>91</v>
      </c>
      <c r="B17" s="115">
        <v>1</v>
      </c>
      <c r="C17" s="1">
        <v>8</v>
      </c>
      <c r="D17" s="1">
        <v>0</v>
      </c>
      <c r="E17" s="116">
        <f t="shared" si="0"/>
        <v>9</v>
      </c>
      <c r="F17" s="114">
        <v>116</v>
      </c>
      <c r="G17" s="115">
        <v>12365</v>
      </c>
      <c r="H17" s="202">
        <v>0.92583906186817633</v>
      </c>
      <c r="I17" s="196">
        <v>1.7630408410837038E-2</v>
      </c>
      <c r="J17" s="138">
        <v>61</v>
      </c>
      <c r="K17" s="117">
        <v>0.13321104122990915</v>
      </c>
      <c r="L17" s="115">
        <v>11675</v>
      </c>
      <c r="M17" s="1">
        <v>9381</v>
      </c>
      <c r="N17" s="118">
        <v>1885</v>
      </c>
      <c r="O17" s="119">
        <v>0.16145610278372591</v>
      </c>
      <c r="T17" s="124"/>
    </row>
    <row r="18" spans="1:20" ht="20.149999999999999" customHeight="1" x14ac:dyDescent="0.35">
      <c r="A18" s="108" t="s">
        <v>92</v>
      </c>
      <c r="B18" s="110">
        <v>1</v>
      </c>
      <c r="C18" s="111">
        <v>3</v>
      </c>
      <c r="D18" s="111">
        <v>4</v>
      </c>
      <c r="E18" s="112">
        <f t="shared" si="0"/>
        <v>8</v>
      </c>
      <c r="F18" s="109">
        <v>44</v>
      </c>
      <c r="G18" s="110">
        <v>8625</v>
      </c>
      <c r="H18" s="203">
        <v>0.82666666666666666</v>
      </c>
      <c r="I18" s="199">
        <v>3.8028985507246371E-2</v>
      </c>
      <c r="J18" s="137">
        <v>41</v>
      </c>
      <c r="K18" s="120">
        <v>0.16802244039270686</v>
      </c>
      <c r="L18" s="110">
        <v>8482</v>
      </c>
      <c r="M18" s="111">
        <v>7965</v>
      </c>
      <c r="N18" s="121">
        <v>819</v>
      </c>
      <c r="O18" s="122">
        <v>9.6557415703843436E-2</v>
      </c>
      <c r="T18" s="124"/>
    </row>
    <row r="19" spans="1:20" ht="20.149999999999999" customHeight="1" x14ac:dyDescent="0.35">
      <c r="A19" s="113" t="s">
        <v>61</v>
      </c>
      <c r="B19" s="115">
        <v>1</v>
      </c>
      <c r="C19" s="1">
        <v>3</v>
      </c>
      <c r="D19" s="1">
        <v>1</v>
      </c>
      <c r="E19" s="116">
        <f t="shared" si="0"/>
        <v>5</v>
      </c>
      <c r="F19" s="114">
        <v>30</v>
      </c>
      <c r="G19" s="115">
        <v>5449</v>
      </c>
      <c r="H19" s="202">
        <v>0.86658102404110848</v>
      </c>
      <c r="I19" s="196">
        <v>3.5235823086804924E-2</v>
      </c>
      <c r="J19" s="138">
        <v>14</v>
      </c>
      <c r="K19" s="117">
        <v>0.15099534095722153</v>
      </c>
      <c r="L19" s="115">
        <v>5692</v>
      </c>
      <c r="M19" s="1">
        <v>5082</v>
      </c>
      <c r="N19" s="118">
        <v>411</v>
      </c>
      <c r="O19" s="119">
        <v>7.2206605762473647E-2</v>
      </c>
      <c r="T19" s="124"/>
    </row>
    <row r="20" spans="1:20" ht="20.149999999999999" customHeight="1" x14ac:dyDescent="0.35">
      <c r="A20" s="108" t="s">
        <v>62</v>
      </c>
      <c r="B20" s="110">
        <v>1</v>
      </c>
      <c r="C20" s="111">
        <v>4</v>
      </c>
      <c r="D20" s="111">
        <v>0</v>
      </c>
      <c r="E20" s="112">
        <f t="shared" si="0"/>
        <v>5</v>
      </c>
      <c r="F20" s="109">
        <v>20</v>
      </c>
      <c r="G20" s="110">
        <v>7402</v>
      </c>
      <c r="H20" s="203">
        <v>0.73939475817346667</v>
      </c>
      <c r="I20" s="199">
        <v>2.2966765738989463E-2</v>
      </c>
      <c r="J20" s="137">
        <v>74</v>
      </c>
      <c r="K20" s="120">
        <v>0.36543029417138678</v>
      </c>
      <c r="L20" s="110">
        <v>8251</v>
      </c>
      <c r="M20" s="111">
        <v>6299</v>
      </c>
      <c r="N20" s="121">
        <v>325</v>
      </c>
      <c r="O20" s="122">
        <v>3.9389164949703064E-2</v>
      </c>
      <c r="T20" s="124"/>
    </row>
    <row r="21" spans="1:20" ht="20.149999999999999" customHeight="1" x14ac:dyDescent="0.35">
      <c r="A21" s="113" t="s">
        <v>63</v>
      </c>
      <c r="B21" s="115">
        <v>1</v>
      </c>
      <c r="C21" s="1">
        <v>3</v>
      </c>
      <c r="D21" s="1">
        <v>2</v>
      </c>
      <c r="E21" s="116">
        <f t="shared" si="0"/>
        <v>6</v>
      </c>
      <c r="F21" s="114">
        <v>46</v>
      </c>
      <c r="G21" s="115">
        <v>6451</v>
      </c>
      <c r="H21" s="202">
        <v>0.94171446287397298</v>
      </c>
      <c r="I21" s="196">
        <v>1.7206634630289878E-2</v>
      </c>
      <c r="J21" s="138">
        <v>13</v>
      </c>
      <c r="K21" s="117">
        <v>3.6213991769547323E-2</v>
      </c>
      <c r="L21" s="115">
        <v>6310</v>
      </c>
      <c r="M21" s="1">
        <v>5318</v>
      </c>
      <c r="N21" s="118">
        <v>831</v>
      </c>
      <c r="O21" s="119">
        <v>0.13169572107765451</v>
      </c>
      <c r="T21" s="124"/>
    </row>
    <row r="22" spans="1:20" ht="20.149999999999999" customHeight="1" x14ac:dyDescent="0.35">
      <c r="A22" s="108" t="s">
        <v>73</v>
      </c>
      <c r="B22" s="110">
        <v>1</v>
      </c>
      <c r="C22" s="111">
        <v>2</v>
      </c>
      <c r="D22" s="111">
        <v>12</v>
      </c>
      <c r="E22" s="112">
        <f t="shared" si="0"/>
        <v>15</v>
      </c>
      <c r="F22" s="109">
        <v>161</v>
      </c>
      <c r="G22" s="110">
        <v>13498</v>
      </c>
      <c r="H22" s="203">
        <v>1</v>
      </c>
      <c r="I22" s="199">
        <v>6.0008890205956442E-2</v>
      </c>
      <c r="J22" s="137">
        <v>115</v>
      </c>
      <c r="K22" s="120">
        <v>0.27552229959994073</v>
      </c>
      <c r="L22" s="110">
        <v>13012</v>
      </c>
      <c r="M22" s="111">
        <v>17422</v>
      </c>
      <c r="N22" s="121">
        <v>1745</v>
      </c>
      <c r="O22" s="122">
        <v>0.13410697817399322</v>
      </c>
      <c r="T22" s="124"/>
    </row>
    <row r="23" spans="1:20" ht="20.149999999999999" customHeight="1" x14ac:dyDescent="0.35">
      <c r="A23" s="113" t="s">
        <v>64</v>
      </c>
      <c r="B23" s="115">
        <v>1</v>
      </c>
      <c r="C23" s="1">
        <v>1</v>
      </c>
      <c r="D23" s="1">
        <v>0</v>
      </c>
      <c r="E23" s="116">
        <f t="shared" si="0"/>
        <v>2</v>
      </c>
      <c r="F23" s="114">
        <v>20</v>
      </c>
      <c r="G23" s="115">
        <v>3572</v>
      </c>
      <c r="H23" s="202">
        <v>0.98404255319148937</v>
      </c>
      <c r="I23" s="196">
        <v>4.1993281075027996E-3</v>
      </c>
      <c r="J23" s="138">
        <v>15</v>
      </c>
      <c r="K23" s="117">
        <v>9.3314366998577522E-2</v>
      </c>
      <c r="L23" s="115">
        <v>3009</v>
      </c>
      <c r="M23" s="1">
        <v>2610</v>
      </c>
      <c r="N23" s="118">
        <v>275</v>
      </c>
      <c r="O23" s="119">
        <v>9.1392489199069463E-2</v>
      </c>
      <c r="T23" s="124"/>
    </row>
    <row r="24" spans="1:20" ht="20.149999999999999" customHeight="1" x14ac:dyDescent="0.35">
      <c r="A24" s="108" t="s">
        <v>75</v>
      </c>
      <c r="B24" s="110">
        <v>1</v>
      </c>
      <c r="C24" s="111">
        <v>2</v>
      </c>
      <c r="D24" s="111">
        <v>5</v>
      </c>
      <c r="E24" s="112">
        <f t="shared" si="0"/>
        <v>8</v>
      </c>
      <c r="F24" s="109">
        <v>122</v>
      </c>
      <c r="G24" s="110">
        <v>48688</v>
      </c>
      <c r="H24" s="204">
        <v>0.73209004272099898</v>
      </c>
      <c r="I24" s="199">
        <v>3.0253861321064737E-2</v>
      </c>
      <c r="J24" s="137">
        <v>87</v>
      </c>
      <c r="K24" s="123">
        <v>0.17475591964987094</v>
      </c>
      <c r="L24" s="192">
        <v>44874.55</v>
      </c>
      <c r="M24" s="193">
        <v>22417.55</v>
      </c>
      <c r="N24" s="121">
        <v>755</v>
      </c>
      <c r="O24" s="122">
        <v>1.6824681250285516E-2</v>
      </c>
      <c r="T24" s="124"/>
    </row>
    <row r="25" spans="1:20" ht="20.149999999999999" customHeight="1" thickBot="1" x14ac:dyDescent="0.4">
      <c r="A25" s="125" t="s">
        <v>96</v>
      </c>
      <c r="B25" s="127">
        <v>1</v>
      </c>
      <c r="C25" s="128">
        <v>4</v>
      </c>
      <c r="D25" s="128">
        <v>2</v>
      </c>
      <c r="E25" s="129">
        <f t="shared" si="0"/>
        <v>7</v>
      </c>
      <c r="F25" s="126">
        <v>106</v>
      </c>
      <c r="G25" s="136">
        <v>19717</v>
      </c>
      <c r="H25" s="205">
        <v>0.86838768575341074</v>
      </c>
      <c r="I25" s="197">
        <v>2.5967439265608357E-2</v>
      </c>
      <c r="J25" s="139">
        <v>44</v>
      </c>
      <c r="K25" s="130">
        <v>0.31877117159210372</v>
      </c>
      <c r="L25" s="127">
        <v>19605</v>
      </c>
      <c r="M25" s="128">
        <v>20323</v>
      </c>
      <c r="N25" s="131">
        <v>350</v>
      </c>
      <c r="O25" s="132">
        <v>1.7852588625350677E-2</v>
      </c>
      <c r="T25" s="124"/>
    </row>
    <row r="26" spans="1:20" ht="25" customHeight="1" thickTop="1" thickBot="1" x14ac:dyDescent="0.4">
      <c r="A26" s="133" t="s">
        <v>0</v>
      </c>
      <c r="B26" s="133">
        <f>SUM(B6:B25)</f>
        <v>23</v>
      </c>
      <c r="C26" s="133">
        <f>SUM(C6:C25)</f>
        <v>103</v>
      </c>
      <c r="D26" s="133">
        <f>SUM(D6:D25)</f>
        <v>105</v>
      </c>
      <c r="E26" s="133">
        <f t="shared" si="0"/>
        <v>231</v>
      </c>
      <c r="F26" s="133">
        <f t="shared" ref="F26:G26" si="1">SUM(F6:F25)</f>
        <v>2356</v>
      </c>
      <c r="G26" s="133">
        <f t="shared" si="1"/>
        <v>420553</v>
      </c>
      <c r="H26" s="206">
        <v>0.76308336880250527</v>
      </c>
      <c r="I26" s="200">
        <v>5.6225969140631507E-2</v>
      </c>
      <c r="J26" s="133">
        <f>SUM(J6:J25)</f>
        <v>1788</v>
      </c>
      <c r="K26" s="134">
        <v>0.27480625831601319</v>
      </c>
      <c r="L26" s="191">
        <f>SUM(L6:L25)</f>
        <v>459856.55</v>
      </c>
      <c r="M26" s="191">
        <f>SUM(M6:M25)</f>
        <v>389038.55</v>
      </c>
      <c r="N26" s="133">
        <f>SUM(N6:N25)</f>
        <v>20532</v>
      </c>
      <c r="O26" s="135">
        <v>4.9966710356932093E-2</v>
      </c>
    </row>
    <row r="27" spans="1:20" ht="20.149999999999999" customHeight="1" thickTop="1" x14ac:dyDescent="0.35">
      <c r="A27" s="195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</row>
    <row r="28" spans="1:20" ht="15" customHeight="1" x14ac:dyDescent="0.35"/>
    <row r="29" spans="1:20" ht="15" customHeight="1" x14ac:dyDescent="0.35"/>
    <row r="30" spans="1:20" ht="15.5" x14ac:dyDescent="0.35">
      <c r="S30" s="154"/>
    </row>
    <row r="65" spans="2:5" ht="15" thickBot="1" x14ac:dyDescent="0.4"/>
    <row r="66" spans="2:5" ht="15.5" thickTop="1" thickBot="1" x14ac:dyDescent="0.4">
      <c r="B66" s="85"/>
      <c r="C66" s="85"/>
      <c r="D66" s="85"/>
      <c r="E66" s="85"/>
    </row>
    <row r="67" spans="2:5" ht="15" thickTop="1" x14ac:dyDescent="0.35"/>
  </sheetData>
  <mergeCells count="10">
    <mergeCell ref="A2:O3"/>
    <mergeCell ref="A4:A5"/>
    <mergeCell ref="B4:E4"/>
    <mergeCell ref="F4:F5"/>
    <mergeCell ref="G4:G5"/>
    <mergeCell ref="L4:O4"/>
    <mergeCell ref="I4:I5"/>
    <mergeCell ref="H4:H5"/>
    <mergeCell ref="J4:J5"/>
    <mergeCell ref="K4:K5"/>
  </mergeCells>
  <pageMargins left="0.25" right="0.25" top="2.4" bottom="0.75" header="0.3" footer="0.3"/>
  <pageSetup scale="3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Q441"/>
  <sheetViews>
    <sheetView rightToLeft="1" zoomScale="110" zoomScaleNormal="110" workbookViewId="0"/>
  </sheetViews>
  <sheetFormatPr defaultRowHeight="14.5" x14ac:dyDescent="0.35"/>
  <cols>
    <col min="1" max="1" width="17.81640625" customWidth="1"/>
    <col min="2" max="17" width="13.7265625" customWidth="1"/>
  </cols>
  <sheetData>
    <row r="1" spans="2:17" ht="15" customHeight="1" x14ac:dyDescent="0.35"/>
    <row r="2" spans="2:17" ht="15" customHeight="1" x14ac:dyDescent="0.35"/>
    <row r="3" spans="2:17" x14ac:dyDescent="0.35">
      <c r="B3">
        <v>1</v>
      </c>
    </row>
    <row r="4" spans="2:17" ht="20.149999999999999" customHeight="1" x14ac:dyDescent="0.35">
      <c r="B4" s="263" t="s">
        <v>99</v>
      </c>
      <c r="C4" s="258"/>
      <c r="D4" s="258"/>
      <c r="E4" s="258"/>
      <c r="F4" s="258"/>
      <c r="G4" s="258"/>
      <c r="H4" s="259"/>
      <c r="I4" s="5"/>
      <c r="J4" s="5"/>
      <c r="K4" s="263" t="s">
        <v>100</v>
      </c>
      <c r="L4" s="258"/>
      <c r="M4" s="258"/>
      <c r="N4" s="258"/>
      <c r="O4" s="258"/>
      <c r="P4" s="258"/>
      <c r="Q4" s="259"/>
    </row>
    <row r="5" spans="2:17" ht="20.149999999999999" customHeight="1" x14ac:dyDescent="0.35">
      <c r="B5" s="260"/>
      <c r="C5" s="261"/>
      <c r="D5" s="261"/>
      <c r="E5" s="261"/>
      <c r="F5" s="261"/>
      <c r="G5" s="261"/>
      <c r="H5" s="262"/>
      <c r="I5" s="5"/>
      <c r="J5" s="5"/>
      <c r="K5" s="260"/>
      <c r="L5" s="261"/>
      <c r="M5" s="261"/>
      <c r="N5" s="261"/>
      <c r="O5" s="261"/>
      <c r="P5" s="261"/>
      <c r="Q5" s="262"/>
    </row>
    <row r="6" spans="2:17" ht="20.149999999999999" customHeight="1" thickBot="1" x14ac:dyDescent="0.4">
      <c r="B6" s="3" t="s">
        <v>14</v>
      </c>
      <c r="C6" s="6" t="s">
        <v>13</v>
      </c>
      <c r="D6" s="6" t="s">
        <v>3</v>
      </c>
      <c r="E6" s="6" t="s">
        <v>4</v>
      </c>
      <c r="F6" s="6" t="s">
        <v>10</v>
      </c>
      <c r="G6" s="6" t="s">
        <v>5</v>
      </c>
      <c r="H6" s="6" t="s">
        <v>1</v>
      </c>
      <c r="I6" s="5"/>
      <c r="J6" s="5"/>
      <c r="K6" s="3" t="s">
        <v>14</v>
      </c>
      <c r="L6" s="6" t="s">
        <v>13</v>
      </c>
      <c r="M6" s="6" t="s">
        <v>3</v>
      </c>
      <c r="N6" s="6" t="s">
        <v>4</v>
      </c>
      <c r="O6" s="6" t="s">
        <v>10</v>
      </c>
      <c r="P6" s="6" t="s">
        <v>5</v>
      </c>
      <c r="Q6" s="6" t="s">
        <v>1</v>
      </c>
    </row>
    <row r="7" spans="2:17" ht="20.149999999999999" customHeight="1" thickTop="1" thickBot="1" x14ac:dyDescent="0.4">
      <c r="B7" s="264" t="s">
        <v>6</v>
      </c>
      <c r="C7" s="2" t="s">
        <v>9</v>
      </c>
      <c r="D7" s="181">
        <v>5604</v>
      </c>
      <c r="E7" s="182">
        <v>830</v>
      </c>
      <c r="F7" s="181">
        <v>413</v>
      </c>
      <c r="G7" s="182">
        <v>0</v>
      </c>
      <c r="H7" s="2">
        <f>SUM(D7,E7,F7,G7)</f>
        <v>6847</v>
      </c>
      <c r="I7" s="5"/>
      <c r="J7" s="5"/>
      <c r="K7" s="264" t="s">
        <v>6</v>
      </c>
      <c r="L7" s="2" t="s">
        <v>9</v>
      </c>
      <c r="M7" s="7">
        <f>D7/H15</f>
        <v>0.71415827704855361</v>
      </c>
      <c r="N7" s="7">
        <f>E7/H15</f>
        <v>0.10577290684337963</v>
      </c>
      <c r="O7" s="7">
        <f>F7/H15</f>
        <v>5.2631578947368418E-2</v>
      </c>
      <c r="P7" s="7">
        <f>G7/H15</f>
        <v>0</v>
      </c>
      <c r="Q7" s="7">
        <f>SUM(M7,N7,O7,P7)</f>
        <v>0.87256276283930156</v>
      </c>
    </row>
    <row r="8" spans="2:17" ht="20.149999999999999" customHeight="1" thickTop="1" thickBot="1" x14ac:dyDescent="0.4">
      <c r="B8" s="265"/>
      <c r="C8" s="2" t="s">
        <v>2</v>
      </c>
      <c r="D8" s="181">
        <v>557</v>
      </c>
      <c r="E8" s="182">
        <v>106</v>
      </c>
      <c r="F8" s="181">
        <v>160</v>
      </c>
      <c r="G8" s="182">
        <v>0</v>
      </c>
      <c r="H8" s="2">
        <f>SUM(D8,E8,F8,G8)</f>
        <v>823</v>
      </c>
      <c r="I8" s="5"/>
      <c r="J8" s="5"/>
      <c r="K8" s="265"/>
      <c r="L8" s="2" t="s">
        <v>2</v>
      </c>
      <c r="M8" s="7">
        <f>D8/H15</f>
        <v>7.0982541098508989E-2</v>
      </c>
      <c r="N8" s="7">
        <f>E8/H15</f>
        <v>1.3508347139034026E-2</v>
      </c>
      <c r="O8" s="7">
        <f>F8/H15</f>
        <v>2.0389957945711738E-2</v>
      </c>
      <c r="P8" s="7">
        <f>G8/H15</f>
        <v>0</v>
      </c>
      <c r="Q8" s="7">
        <f>SUM(M8,N8,O8,P8)</f>
        <v>0.10488084618325474</v>
      </c>
    </row>
    <row r="9" spans="2:17" ht="20.149999999999999" customHeight="1" thickTop="1" x14ac:dyDescent="0.35">
      <c r="B9" s="238" t="s">
        <v>17</v>
      </c>
      <c r="C9" s="239"/>
      <c r="D9" s="8">
        <f>SUM(D7,D8)</f>
        <v>6161</v>
      </c>
      <c r="E9" s="8">
        <f>SUM(E7,E8)</f>
        <v>936</v>
      </c>
      <c r="F9" s="8">
        <f>SUM(F7,F8)</f>
        <v>573</v>
      </c>
      <c r="G9" s="8">
        <f>SUM(G7,G8)</f>
        <v>0</v>
      </c>
      <c r="H9" s="9">
        <f>SUM(H7,H8)</f>
        <v>7670</v>
      </c>
      <c r="I9" s="5"/>
      <c r="J9" s="5"/>
      <c r="K9" s="238" t="s">
        <v>17</v>
      </c>
      <c r="L9" s="251"/>
      <c r="M9" s="10">
        <f>SUM(M7,M8)</f>
        <v>0.7851408181470626</v>
      </c>
      <c r="N9" s="10">
        <f>SUM(N7,N8)</f>
        <v>0.11928125398241365</v>
      </c>
      <c r="O9" s="10">
        <f>SUM(O7,O8)</f>
        <v>7.3021536893080163E-2</v>
      </c>
      <c r="P9" s="10">
        <f>SUM(P7,P8)</f>
        <v>0</v>
      </c>
      <c r="Q9" s="11">
        <f>SUM(Q7,Q8)</f>
        <v>0.97744360902255634</v>
      </c>
    </row>
    <row r="10" spans="2:17" ht="20.149999999999999" customHeight="1" thickBot="1" x14ac:dyDescent="0.4">
      <c r="B10" s="252"/>
      <c r="C10" s="253"/>
      <c r="D10" s="253"/>
      <c r="E10" s="253"/>
      <c r="F10" s="253"/>
      <c r="G10" s="253"/>
      <c r="H10" s="254"/>
      <c r="I10" s="5"/>
      <c r="J10" s="5"/>
      <c r="K10" s="252"/>
      <c r="L10" s="253"/>
      <c r="M10" s="253"/>
      <c r="N10" s="253"/>
      <c r="O10" s="253"/>
      <c r="P10" s="253"/>
      <c r="Q10" s="254"/>
    </row>
    <row r="11" spans="2:17" ht="20.149999999999999" customHeight="1" thickTop="1" thickBot="1" x14ac:dyDescent="0.4">
      <c r="B11" s="255" t="s">
        <v>7</v>
      </c>
      <c r="C11" s="12" t="s">
        <v>11</v>
      </c>
      <c r="D11" s="183">
        <v>85</v>
      </c>
      <c r="E11" s="83">
        <v>6</v>
      </c>
      <c r="F11" s="183">
        <v>21</v>
      </c>
      <c r="G11" s="83">
        <v>0</v>
      </c>
      <c r="H11" s="12">
        <f>SUM(D11,E11,F11,G11)</f>
        <v>112</v>
      </c>
      <c r="I11" s="5"/>
      <c r="J11" s="5"/>
      <c r="K11" s="255" t="s">
        <v>7</v>
      </c>
      <c r="L11" s="12" t="s">
        <v>11</v>
      </c>
      <c r="M11" s="13">
        <f>D11/H15</f>
        <v>1.0832165158659359E-2</v>
      </c>
      <c r="N11" s="13">
        <f>E11/H15</f>
        <v>7.6462342296419012E-4</v>
      </c>
      <c r="O11" s="13">
        <f>F11/H15</f>
        <v>2.6761819803746653E-3</v>
      </c>
      <c r="P11" s="13">
        <f>G11/H15</f>
        <v>0</v>
      </c>
      <c r="Q11" s="13">
        <f>SUM(M11,N11,O11,P11)</f>
        <v>1.4272970561998215E-2</v>
      </c>
    </row>
    <row r="12" spans="2:17" ht="20.149999999999999" customHeight="1" thickTop="1" thickBot="1" x14ac:dyDescent="0.4">
      <c r="B12" s="256"/>
      <c r="C12" s="12" t="s">
        <v>12</v>
      </c>
      <c r="D12" s="183">
        <v>13</v>
      </c>
      <c r="E12" s="83">
        <v>2</v>
      </c>
      <c r="F12" s="183">
        <v>50</v>
      </c>
      <c r="G12" s="83">
        <v>0</v>
      </c>
      <c r="H12" s="12">
        <f>SUM(D12,E12,F12:G12)</f>
        <v>65</v>
      </c>
      <c r="I12" s="5"/>
      <c r="J12" s="5"/>
      <c r="K12" s="256"/>
      <c r="L12" s="12" t="s">
        <v>12</v>
      </c>
      <c r="M12" s="13">
        <f>D12/H15</f>
        <v>1.6566840830890787E-3</v>
      </c>
      <c r="N12" s="13">
        <f>E12/H15</f>
        <v>2.5487447432139671E-4</v>
      </c>
      <c r="O12" s="13">
        <f>F12/H15</f>
        <v>6.3718618580349178E-3</v>
      </c>
      <c r="P12" s="13">
        <f>G12/H15</f>
        <v>0</v>
      </c>
      <c r="Q12" s="13">
        <f>SUM(M12,N12,O12:P12)</f>
        <v>8.283420415445393E-3</v>
      </c>
    </row>
    <row r="13" spans="2:17" ht="20.149999999999999" customHeight="1" thickTop="1" x14ac:dyDescent="0.35">
      <c r="B13" s="238" t="s">
        <v>18</v>
      </c>
      <c r="C13" s="239"/>
      <c r="D13" s="14">
        <f>SUM(D11,D12)</f>
        <v>98</v>
      </c>
      <c r="E13" s="14">
        <f>SUM(E11,E12)</f>
        <v>8</v>
      </c>
      <c r="F13" s="14">
        <f>SUM(F11,F12)</f>
        <v>71</v>
      </c>
      <c r="G13" s="14">
        <f>SUM(G11,G12)</f>
        <v>0</v>
      </c>
      <c r="H13" s="9">
        <f>SUM(H11,H12)</f>
        <v>177</v>
      </c>
      <c r="I13" s="5"/>
      <c r="J13" s="5"/>
      <c r="K13" s="238" t="s">
        <v>18</v>
      </c>
      <c r="L13" s="239"/>
      <c r="M13" s="15">
        <f>SUM(M11,M12)</f>
        <v>1.2488849241748439E-2</v>
      </c>
      <c r="N13" s="15">
        <f>SUM(N11,N12)</f>
        <v>1.0194978972855868E-3</v>
      </c>
      <c r="O13" s="15">
        <f>SUM(O11,O12)</f>
        <v>9.0480438384095835E-3</v>
      </c>
      <c r="P13" s="15">
        <f>SUM(P11,P12)</f>
        <v>0</v>
      </c>
      <c r="Q13" s="11">
        <f>SUM(Q11,Q12)</f>
        <v>2.2556390977443608E-2</v>
      </c>
    </row>
    <row r="14" spans="2:17" ht="20.149999999999999" customHeight="1" thickBot="1" x14ac:dyDescent="0.4">
      <c r="B14" s="273"/>
      <c r="C14" s="274"/>
      <c r="D14" s="274"/>
      <c r="E14" s="274"/>
      <c r="F14" s="274"/>
      <c r="G14" s="274"/>
      <c r="H14" s="275"/>
      <c r="I14" s="5"/>
      <c r="J14" s="5"/>
      <c r="K14" s="240"/>
      <c r="L14" s="241"/>
      <c r="M14" s="241"/>
      <c r="N14" s="241"/>
      <c r="O14" s="241"/>
      <c r="P14" s="241"/>
      <c r="Q14" s="242"/>
    </row>
    <row r="15" spans="2:17" ht="20.149999999999999" customHeight="1" thickBot="1" x14ac:dyDescent="0.4">
      <c r="B15" s="243" t="s">
        <v>20</v>
      </c>
      <c r="C15" s="272"/>
      <c r="D15" s="16">
        <f>SUM(D9,D13)</f>
        <v>6259</v>
      </c>
      <c r="E15" s="16">
        <f>SUM(E9,E13)</f>
        <v>944</v>
      </c>
      <c r="F15" s="16">
        <f>SUM(F9,F13)</f>
        <v>644</v>
      </c>
      <c r="G15" s="16">
        <f>SUM(G9,G13)</f>
        <v>0</v>
      </c>
      <c r="H15" s="16">
        <f>SUM(H9,H13)</f>
        <v>7847</v>
      </c>
      <c r="I15" s="5"/>
      <c r="J15" s="5"/>
      <c r="K15" s="243" t="s">
        <v>0</v>
      </c>
      <c r="L15" s="244"/>
      <c r="M15" s="17">
        <f>SUM(M9,M13)</f>
        <v>0.79762966738881103</v>
      </c>
      <c r="N15" s="17">
        <f>SUM(N9,N13)</f>
        <v>0.12030075187969924</v>
      </c>
      <c r="O15" s="18">
        <f>SUM(O9,O13)</f>
        <v>8.2069580731489747E-2</v>
      </c>
      <c r="P15" s="18">
        <f>SUM(P9,P13)</f>
        <v>0</v>
      </c>
      <c r="Q15" s="18">
        <f>SUM(Q9,Q13)</f>
        <v>1</v>
      </c>
    </row>
    <row r="16" spans="2:17" ht="20.149999999999999" customHeight="1" x14ac:dyDescent="0.35">
      <c r="B16" s="232" t="s">
        <v>8</v>
      </c>
      <c r="C16" s="236" t="s">
        <v>15</v>
      </c>
      <c r="D16" s="237"/>
      <c r="E16" s="236" t="s">
        <v>16</v>
      </c>
      <c r="F16" s="237"/>
      <c r="G16" s="236" t="s">
        <v>1</v>
      </c>
      <c r="H16" s="237"/>
      <c r="I16" s="5"/>
      <c r="J16" s="5"/>
      <c r="K16" s="232" t="s">
        <v>8</v>
      </c>
      <c r="L16" s="234" t="s">
        <v>15</v>
      </c>
      <c r="M16" s="235"/>
      <c r="N16" s="234" t="s">
        <v>16</v>
      </c>
      <c r="O16" s="235"/>
      <c r="P16" s="236" t="s">
        <v>1</v>
      </c>
      <c r="Q16" s="237"/>
    </row>
    <row r="17" spans="2:17" ht="20.149999999999999" customHeight="1" x14ac:dyDescent="0.35">
      <c r="B17" s="233"/>
      <c r="C17" s="245">
        <f>SUM(H7,H11)</f>
        <v>6959</v>
      </c>
      <c r="D17" s="246"/>
      <c r="E17" s="245">
        <f>SUM(H8,H12)</f>
        <v>888</v>
      </c>
      <c r="F17" s="246"/>
      <c r="G17" s="245">
        <f>SUM(H7,H8,H11,H12)</f>
        <v>7847</v>
      </c>
      <c r="H17" s="246"/>
      <c r="I17" s="5"/>
      <c r="J17" s="5"/>
      <c r="K17" s="233"/>
      <c r="L17" s="247">
        <f>SUM(Q7,Q11)</f>
        <v>0.88683573340129973</v>
      </c>
      <c r="M17" s="248"/>
      <c r="N17" s="247">
        <f>SUM(Q8,Q12)</f>
        <v>0.11316426659870013</v>
      </c>
      <c r="O17" s="248"/>
      <c r="P17" s="249">
        <f>SUM(Q7,Q8,Q11,Q12)</f>
        <v>0.99999999999999989</v>
      </c>
      <c r="Q17" s="250"/>
    </row>
    <row r="18" spans="2:17" ht="20.149999999999999" customHeight="1" x14ac:dyDescent="0.3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2:17" ht="20.149999999999999" customHeight="1" x14ac:dyDescent="0.3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2:17" ht="20.149999999999999" customHeight="1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2:17" ht="20.149999999999999" customHeight="1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2:17" ht="20.149999999999999" customHeight="1" x14ac:dyDescent="0.3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2:17" ht="20.149999999999999" customHeight="1" x14ac:dyDescent="0.3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2:17" ht="20.149999999999999" customHeight="1" x14ac:dyDescent="0.3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2:17" ht="20.149999999999999" customHeight="1" x14ac:dyDescent="0.35">
      <c r="B25" s="5">
        <v>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2:17" ht="20.149999999999999" customHeight="1" x14ac:dyDescent="0.35">
      <c r="B26" s="263" t="s">
        <v>101</v>
      </c>
      <c r="C26" s="258"/>
      <c r="D26" s="258"/>
      <c r="E26" s="258"/>
      <c r="F26" s="258"/>
      <c r="G26" s="258"/>
      <c r="H26" s="259"/>
      <c r="I26" s="5"/>
      <c r="J26" s="5"/>
      <c r="K26" s="263" t="s">
        <v>102</v>
      </c>
      <c r="L26" s="258"/>
      <c r="M26" s="258"/>
      <c r="N26" s="258"/>
      <c r="O26" s="258"/>
      <c r="P26" s="258"/>
      <c r="Q26" s="259"/>
    </row>
    <row r="27" spans="2:17" ht="20.149999999999999" customHeight="1" x14ac:dyDescent="0.35">
      <c r="B27" s="260"/>
      <c r="C27" s="261"/>
      <c r="D27" s="261"/>
      <c r="E27" s="261"/>
      <c r="F27" s="261"/>
      <c r="G27" s="261"/>
      <c r="H27" s="262"/>
      <c r="I27" s="5"/>
      <c r="J27" s="5"/>
      <c r="K27" s="260"/>
      <c r="L27" s="261"/>
      <c r="M27" s="261"/>
      <c r="N27" s="261"/>
      <c r="O27" s="261"/>
      <c r="P27" s="261"/>
      <c r="Q27" s="262"/>
    </row>
    <row r="28" spans="2:17" ht="20.149999999999999" customHeight="1" x14ac:dyDescent="0.35">
      <c r="B28" s="3" t="s">
        <v>14</v>
      </c>
      <c r="C28" s="6" t="s">
        <v>13</v>
      </c>
      <c r="D28" s="42" t="s">
        <v>3</v>
      </c>
      <c r="E28" s="42" t="s">
        <v>4</v>
      </c>
      <c r="F28" s="42" t="s">
        <v>10</v>
      </c>
      <c r="G28" s="42" t="s">
        <v>5</v>
      </c>
      <c r="H28" s="6" t="s">
        <v>1</v>
      </c>
      <c r="I28" s="5"/>
      <c r="J28" s="5"/>
      <c r="K28" s="3" t="s">
        <v>14</v>
      </c>
      <c r="L28" s="6" t="s">
        <v>13</v>
      </c>
      <c r="M28" s="6" t="s">
        <v>3</v>
      </c>
      <c r="N28" s="6" t="s">
        <v>4</v>
      </c>
      <c r="O28" s="6" t="s">
        <v>10</v>
      </c>
      <c r="P28" s="6" t="s">
        <v>5</v>
      </c>
      <c r="Q28" s="6" t="s">
        <v>1</v>
      </c>
    </row>
    <row r="29" spans="2:17" ht="20.149999999999999" customHeight="1" x14ac:dyDescent="0.35">
      <c r="B29" s="264" t="s">
        <v>6</v>
      </c>
      <c r="C29" s="160" t="s">
        <v>9</v>
      </c>
      <c r="D29" s="166">
        <v>3132</v>
      </c>
      <c r="E29" s="167">
        <v>57</v>
      </c>
      <c r="F29" s="166">
        <v>0</v>
      </c>
      <c r="G29" s="167">
        <v>0</v>
      </c>
      <c r="H29" s="161">
        <f>SUM(D29,E29,F29,G29)</f>
        <v>3189</v>
      </c>
      <c r="I29" s="5"/>
      <c r="J29" s="5"/>
      <c r="K29" s="264" t="s">
        <v>6</v>
      </c>
      <c r="L29" s="2" t="s">
        <v>9</v>
      </c>
      <c r="M29" s="7">
        <f>D29/H37</f>
        <v>0.87681970884658456</v>
      </c>
      <c r="N29" s="7">
        <f>E29/H37</f>
        <v>1.5957446808510637E-2</v>
      </c>
      <c r="O29" s="7">
        <f>F29/H37</f>
        <v>0</v>
      </c>
      <c r="P29" s="7">
        <f>G29/H37</f>
        <v>0</v>
      </c>
      <c r="Q29" s="7">
        <f>SUM(M29,N29,O29,P29)</f>
        <v>0.89277715565509519</v>
      </c>
    </row>
    <row r="30" spans="2:17" ht="20.149999999999999" customHeight="1" x14ac:dyDescent="0.35">
      <c r="B30" s="265"/>
      <c r="C30" s="160" t="s">
        <v>2</v>
      </c>
      <c r="D30" s="166">
        <v>368</v>
      </c>
      <c r="E30" s="167">
        <v>0</v>
      </c>
      <c r="F30" s="166">
        <v>0</v>
      </c>
      <c r="G30" s="167">
        <v>0</v>
      </c>
      <c r="H30" s="161">
        <f>SUM(D30,E30,F30,G30)</f>
        <v>368</v>
      </c>
      <c r="I30" s="5"/>
      <c r="J30" s="5"/>
      <c r="K30" s="265"/>
      <c r="L30" s="2" t="s">
        <v>2</v>
      </c>
      <c r="M30" s="7">
        <f>D30/H37</f>
        <v>0.10302351623740201</v>
      </c>
      <c r="N30" s="7">
        <f>E30/H37</f>
        <v>0</v>
      </c>
      <c r="O30" s="7">
        <f>F30/H37</f>
        <v>0</v>
      </c>
      <c r="P30" s="7">
        <f>G30/H37</f>
        <v>0</v>
      </c>
      <c r="Q30" s="7">
        <f>SUM(M30,N30,O30,P30)</f>
        <v>0.10302351623740201</v>
      </c>
    </row>
    <row r="31" spans="2:17" ht="20.149999999999999" customHeight="1" x14ac:dyDescent="0.35">
      <c r="B31" s="238" t="s">
        <v>17</v>
      </c>
      <c r="C31" s="239"/>
      <c r="D31" s="162">
        <f>SUM(D29,D30)</f>
        <v>3500</v>
      </c>
      <c r="E31" s="162">
        <f>SUM(E29,E30)</f>
        <v>57</v>
      </c>
      <c r="F31" s="162">
        <f>SUM(F29,F30)</f>
        <v>0</v>
      </c>
      <c r="G31" s="162">
        <f>SUM(G29,G30)</f>
        <v>0</v>
      </c>
      <c r="H31" s="9">
        <f>SUM(H29,H30)</f>
        <v>3557</v>
      </c>
      <c r="I31" s="5"/>
      <c r="J31" s="5"/>
      <c r="K31" s="238" t="s">
        <v>17</v>
      </c>
      <c r="L31" s="251"/>
      <c r="M31" s="10">
        <f>SUM(M29,M30)</f>
        <v>0.97984322508398658</v>
      </c>
      <c r="N31" s="10">
        <f>SUM(N29,N30)</f>
        <v>1.5957446808510637E-2</v>
      </c>
      <c r="O31" s="10">
        <f>SUM(O29,O30)</f>
        <v>0</v>
      </c>
      <c r="P31" s="10">
        <f>SUM(P29,P30)</f>
        <v>0</v>
      </c>
      <c r="Q31" s="11">
        <f>SUM(Q29,Q30)</f>
        <v>0.99580067189249721</v>
      </c>
    </row>
    <row r="32" spans="2:17" ht="20.149999999999999" customHeight="1" x14ac:dyDescent="0.35">
      <c r="B32" s="252"/>
      <c r="C32" s="253"/>
      <c r="D32" s="266"/>
      <c r="E32" s="266"/>
      <c r="F32" s="266"/>
      <c r="G32" s="266"/>
      <c r="H32" s="254"/>
      <c r="I32" s="5"/>
      <c r="J32" s="5"/>
      <c r="K32" s="252"/>
      <c r="L32" s="253"/>
      <c r="M32" s="253"/>
      <c r="N32" s="253"/>
      <c r="O32" s="253"/>
      <c r="P32" s="253"/>
      <c r="Q32" s="254"/>
    </row>
    <row r="33" spans="2:17" ht="20.149999999999999" customHeight="1" x14ac:dyDescent="0.35">
      <c r="B33" s="255" t="s">
        <v>7</v>
      </c>
      <c r="C33" s="163" t="s">
        <v>11</v>
      </c>
      <c r="D33" s="168">
        <v>13</v>
      </c>
      <c r="E33" s="169">
        <v>0</v>
      </c>
      <c r="F33" s="168">
        <v>0</v>
      </c>
      <c r="G33" s="169">
        <v>0</v>
      </c>
      <c r="H33" s="164">
        <f>SUM(D33,E33,F33,G33)</f>
        <v>13</v>
      </c>
      <c r="I33" s="5"/>
      <c r="J33" s="5"/>
      <c r="K33" s="255" t="s">
        <v>7</v>
      </c>
      <c r="L33" s="12" t="s">
        <v>11</v>
      </c>
      <c r="M33" s="13">
        <f>D33/H37</f>
        <v>3.6394176931690931E-3</v>
      </c>
      <c r="N33" s="13">
        <f>E33/H37</f>
        <v>0</v>
      </c>
      <c r="O33" s="13">
        <f>F33/H37</f>
        <v>0</v>
      </c>
      <c r="P33" s="13">
        <f>G33/H37</f>
        <v>0</v>
      </c>
      <c r="Q33" s="13">
        <f>SUM(M33,N33,O33,P33)</f>
        <v>3.6394176931690931E-3</v>
      </c>
    </row>
    <row r="34" spans="2:17" ht="20.149999999999999" customHeight="1" x14ac:dyDescent="0.35">
      <c r="B34" s="256"/>
      <c r="C34" s="163" t="s">
        <v>12</v>
      </c>
      <c r="D34" s="168">
        <v>2</v>
      </c>
      <c r="E34" s="169">
        <v>0</v>
      </c>
      <c r="F34" s="168">
        <v>0</v>
      </c>
      <c r="G34" s="169">
        <v>0</v>
      </c>
      <c r="H34" s="164">
        <f>SUM(D34,E34,F34:G34)</f>
        <v>2</v>
      </c>
      <c r="I34" s="5"/>
      <c r="J34" s="5"/>
      <c r="K34" s="256"/>
      <c r="L34" s="12" t="s">
        <v>12</v>
      </c>
      <c r="M34" s="13">
        <f>D34/H37</f>
        <v>5.5991041433370661E-4</v>
      </c>
      <c r="N34" s="13">
        <f>E34/H37</f>
        <v>0</v>
      </c>
      <c r="O34" s="13">
        <f>F34/H37</f>
        <v>0</v>
      </c>
      <c r="P34" s="13">
        <f>G34/H37</f>
        <v>0</v>
      </c>
      <c r="Q34" s="13">
        <f>SUM(M34,N34,O34:P34)</f>
        <v>5.5991041433370661E-4</v>
      </c>
    </row>
    <row r="35" spans="2:17" ht="20.149999999999999" customHeight="1" x14ac:dyDescent="0.35">
      <c r="B35" s="238" t="s">
        <v>18</v>
      </c>
      <c r="C35" s="239"/>
      <c r="D35" s="165">
        <f>SUM(D33,D34)</f>
        <v>15</v>
      </c>
      <c r="E35" s="165">
        <f>SUM(E33,E34)</f>
        <v>0</v>
      </c>
      <c r="F35" s="165">
        <f>SUM(F33,F34)</f>
        <v>0</v>
      </c>
      <c r="G35" s="165">
        <f>SUM(G33,G34)</f>
        <v>0</v>
      </c>
      <c r="H35" s="9">
        <f>SUM(H33,H34)</f>
        <v>15</v>
      </c>
      <c r="I35" s="5"/>
      <c r="J35" s="5"/>
      <c r="K35" s="238" t="s">
        <v>18</v>
      </c>
      <c r="L35" s="239"/>
      <c r="M35" s="15">
        <f>SUM(M33,M34)</f>
        <v>4.1993281075027996E-3</v>
      </c>
      <c r="N35" s="15">
        <f>SUM(N33,N34)</f>
        <v>0</v>
      </c>
      <c r="O35" s="15">
        <f>SUM(O33,O34)</f>
        <v>0</v>
      </c>
      <c r="P35" s="15">
        <f>SUM(P33,P34)</f>
        <v>0</v>
      </c>
      <c r="Q35" s="11">
        <f>SUM(Q33,Q34)</f>
        <v>4.1993281075027996E-3</v>
      </c>
    </row>
    <row r="36" spans="2:17" ht="20.149999999999999" customHeight="1" thickBot="1" x14ac:dyDescent="0.4">
      <c r="B36" s="240"/>
      <c r="C36" s="241"/>
      <c r="D36" s="241"/>
      <c r="E36" s="241"/>
      <c r="F36" s="241"/>
      <c r="G36" s="241"/>
      <c r="H36" s="242"/>
      <c r="I36" s="5"/>
      <c r="J36" s="5"/>
      <c r="K36" s="240"/>
      <c r="L36" s="241"/>
      <c r="M36" s="241"/>
      <c r="N36" s="241"/>
      <c r="O36" s="241"/>
      <c r="P36" s="241"/>
      <c r="Q36" s="242"/>
    </row>
    <row r="37" spans="2:17" ht="20.149999999999999" customHeight="1" thickBot="1" x14ac:dyDescent="0.4">
      <c r="B37" s="243" t="s">
        <v>0</v>
      </c>
      <c r="C37" s="244"/>
      <c r="D37" s="16">
        <f>SUM(D31,D35)</f>
        <v>3515</v>
      </c>
      <c r="E37" s="16">
        <f>SUM(E31,E35)</f>
        <v>57</v>
      </c>
      <c r="F37" s="16">
        <f>SUM(F31,F35)</f>
        <v>0</v>
      </c>
      <c r="G37" s="16">
        <f>SUM(G31,G35)</f>
        <v>0</v>
      </c>
      <c r="H37" s="16">
        <f>SUM(H31,H35)</f>
        <v>3572</v>
      </c>
      <c r="I37" s="5"/>
      <c r="J37" s="5"/>
      <c r="K37" s="243" t="s">
        <v>0</v>
      </c>
      <c r="L37" s="244"/>
      <c r="M37" s="17">
        <f>SUM(M31,M35)</f>
        <v>0.98404255319148937</v>
      </c>
      <c r="N37" s="17">
        <f>SUM(N31,N35)</f>
        <v>1.5957446808510637E-2</v>
      </c>
      <c r="O37" s="18">
        <f>SUM(O31,O35)</f>
        <v>0</v>
      </c>
      <c r="P37" s="18">
        <f>SUM(P31,P35)</f>
        <v>0</v>
      </c>
      <c r="Q37" s="18">
        <f>SUM(Q31,Q35)</f>
        <v>1</v>
      </c>
    </row>
    <row r="38" spans="2:17" ht="20.149999999999999" customHeight="1" x14ac:dyDescent="0.35">
      <c r="B38" s="232" t="s">
        <v>8</v>
      </c>
      <c r="C38" s="234" t="s">
        <v>15</v>
      </c>
      <c r="D38" s="235"/>
      <c r="E38" s="234" t="s">
        <v>16</v>
      </c>
      <c r="F38" s="235"/>
      <c r="G38" s="236" t="s">
        <v>1</v>
      </c>
      <c r="H38" s="237"/>
      <c r="I38" s="5"/>
      <c r="J38" s="5"/>
      <c r="K38" s="232" t="s">
        <v>8</v>
      </c>
      <c r="L38" s="234" t="s">
        <v>15</v>
      </c>
      <c r="M38" s="235"/>
      <c r="N38" s="234" t="s">
        <v>16</v>
      </c>
      <c r="O38" s="235"/>
      <c r="P38" s="236" t="s">
        <v>1</v>
      </c>
      <c r="Q38" s="237"/>
    </row>
    <row r="39" spans="2:17" ht="20.149999999999999" customHeight="1" x14ac:dyDescent="0.35">
      <c r="B39" s="233"/>
      <c r="C39" s="245">
        <f>SUM(H29,H33)</f>
        <v>3202</v>
      </c>
      <c r="D39" s="246"/>
      <c r="E39" s="245">
        <f>SUM(H30,H34)</f>
        <v>370</v>
      </c>
      <c r="F39" s="246"/>
      <c r="G39" s="245">
        <f>SUM(H29,H30,H33,H34)</f>
        <v>3572</v>
      </c>
      <c r="H39" s="246"/>
      <c r="I39" s="5"/>
      <c r="J39" s="5"/>
      <c r="K39" s="233"/>
      <c r="L39" s="247">
        <f>SUM(Q29,Q33)</f>
        <v>0.8964165733482643</v>
      </c>
      <c r="M39" s="248"/>
      <c r="N39" s="247">
        <f>SUM(Q30,Q34)</f>
        <v>0.10358342665173571</v>
      </c>
      <c r="O39" s="248"/>
      <c r="P39" s="249">
        <f>SUM(Q29,Q30,Q33,Q34)</f>
        <v>1</v>
      </c>
      <c r="Q39" s="250"/>
    </row>
    <row r="40" spans="2:17" ht="20.149999999999999" customHeight="1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2:17" ht="20.149999999999999" customHeight="1" x14ac:dyDescent="0.3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2:17" ht="20.149999999999999" customHeight="1" x14ac:dyDescent="0.3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2:17" ht="20.149999999999999" customHeight="1" x14ac:dyDescent="0.3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2:17" ht="20.149999999999999" customHeight="1" x14ac:dyDescent="0.3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2:17" ht="20.149999999999999" customHeight="1" x14ac:dyDescent="0.35">
      <c r="B45" s="5">
        <v>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2:17" ht="20.149999999999999" customHeight="1" x14ac:dyDescent="0.35">
      <c r="B46" s="263" t="s">
        <v>103</v>
      </c>
      <c r="C46" s="258"/>
      <c r="D46" s="258"/>
      <c r="E46" s="258"/>
      <c r="F46" s="258"/>
      <c r="G46" s="258"/>
      <c r="H46" s="259"/>
      <c r="I46" s="5"/>
      <c r="J46" s="5"/>
      <c r="K46" s="263" t="s">
        <v>104</v>
      </c>
      <c r="L46" s="258"/>
      <c r="M46" s="258"/>
      <c r="N46" s="258"/>
      <c r="O46" s="258"/>
      <c r="P46" s="258"/>
      <c r="Q46" s="259"/>
    </row>
    <row r="47" spans="2:17" ht="20.149999999999999" customHeight="1" x14ac:dyDescent="0.35">
      <c r="B47" s="260"/>
      <c r="C47" s="261"/>
      <c r="D47" s="261"/>
      <c r="E47" s="261"/>
      <c r="F47" s="261"/>
      <c r="G47" s="261"/>
      <c r="H47" s="262"/>
      <c r="I47" s="5"/>
      <c r="J47" s="5"/>
      <c r="K47" s="260"/>
      <c r="L47" s="261"/>
      <c r="M47" s="261"/>
      <c r="N47" s="261"/>
      <c r="O47" s="261"/>
      <c r="P47" s="261"/>
      <c r="Q47" s="262"/>
    </row>
    <row r="48" spans="2:17" ht="20.149999999999999" customHeight="1" thickBot="1" x14ac:dyDescent="0.4">
      <c r="B48" s="3" t="s">
        <v>14</v>
      </c>
      <c r="C48" s="6" t="s">
        <v>13</v>
      </c>
      <c r="D48" s="6" t="s">
        <v>3</v>
      </c>
      <c r="E48" s="6" t="s">
        <v>4</v>
      </c>
      <c r="F48" s="6" t="s">
        <v>10</v>
      </c>
      <c r="G48" s="6" t="s">
        <v>5</v>
      </c>
      <c r="H48" s="6" t="s">
        <v>1</v>
      </c>
      <c r="I48" s="5"/>
      <c r="J48" s="5"/>
      <c r="K48" s="3" t="s">
        <v>14</v>
      </c>
      <c r="L48" s="6" t="s">
        <v>13</v>
      </c>
      <c r="M48" s="6" t="s">
        <v>3</v>
      </c>
      <c r="N48" s="6" t="s">
        <v>4</v>
      </c>
      <c r="O48" s="6" t="s">
        <v>10</v>
      </c>
      <c r="P48" s="6" t="s">
        <v>5</v>
      </c>
      <c r="Q48" s="6" t="s">
        <v>1</v>
      </c>
    </row>
    <row r="49" spans="2:17" ht="20.149999999999999" customHeight="1" thickTop="1" thickBot="1" x14ac:dyDescent="0.4">
      <c r="B49" s="264" t="s">
        <v>6</v>
      </c>
      <c r="C49" s="2" t="s">
        <v>9</v>
      </c>
      <c r="D49" s="181">
        <v>3968</v>
      </c>
      <c r="E49" s="182">
        <v>417</v>
      </c>
      <c r="F49" s="181">
        <v>87</v>
      </c>
      <c r="G49" s="182">
        <v>0</v>
      </c>
      <c r="H49" s="2">
        <f>SUM(D49,E49,F49,G49)</f>
        <v>4472</v>
      </c>
      <c r="I49" s="5"/>
      <c r="J49" s="5"/>
      <c r="K49" s="264" t="s">
        <v>6</v>
      </c>
      <c r="L49" s="2" t="s">
        <v>9</v>
      </c>
      <c r="M49" s="7">
        <f>D49/H57</f>
        <v>0.72820701046063496</v>
      </c>
      <c r="N49" s="7">
        <f>E49/H57</f>
        <v>7.6527803266654426E-2</v>
      </c>
      <c r="O49" s="7">
        <f>F49/H57</f>
        <v>1.5966232336208478E-2</v>
      </c>
      <c r="P49" s="7">
        <f>G49/H57</f>
        <v>0</v>
      </c>
      <c r="Q49" s="7">
        <f>SUM(M49,N49,O49,P49)</f>
        <v>0.82070104606349792</v>
      </c>
    </row>
    <row r="50" spans="2:17" ht="20.149999999999999" customHeight="1" thickTop="1" thickBot="1" x14ac:dyDescent="0.4">
      <c r="B50" s="265"/>
      <c r="C50" s="2" t="s">
        <v>2</v>
      </c>
      <c r="D50" s="181">
        <v>585</v>
      </c>
      <c r="E50" s="182">
        <v>146</v>
      </c>
      <c r="F50" s="181">
        <v>54</v>
      </c>
      <c r="G50" s="182">
        <v>0</v>
      </c>
      <c r="H50" s="2">
        <f>SUM(D50,E50,F50,G50)</f>
        <v>785</v>
      </c>
      <c r="I50" s="5"/>
      <c r="J50" s="5"/>
      <c r="K50" s="265"/>
      <c r="L50" s="2" t="s">
        <v>2</v>
      </c>
      <c r="M50" s="7">
        <f>D50/H57</f>
        <v>0.10735914846760873</v>
      </c>
      <c r="N50" s="7">
        <f>E50/H57</f>
        <v>2.6793907138924572E-2</v>
      </c>
      <c r="O50" s="7">
        <f>F50/H57</f>
        <v>9.910075243163884E-3</v>
      </c>
      <c r="P50" s="7">
        <f>G50/H57</f>
        <v>0</v>
      </c>
      <c r="Q50" s="7">
        <f>SUM(M50,N50,O50,P50)</f>
        <v>0.14406313084969719</v>
      </c>
    </row>
    <row r="51" spans="2:17" ht="20.149999999999999" customHeight="1" thickTop="1" x14ac:dyDescent="0.35">
      <c r="B51" s="238" t="s">
        <v>17</v>
      </c>
      <c r="C51" s="251"/>
      <c r="D51" s="8">
        <f>SUM(D49,D50)</f>
        <v>4553</v>
      </c>
      <c r="E51" s="8">
        <f>SUM(E49,E50)</f>
        <v>563</v>
      </c>
      <c r="F51" s="8">
        <f>SUM(F49,F50)</f>
        <v>141</v>
      </c>
      <c r="G51" s="8">
        <f>SUM(G49,G50)</f>
        <v>0</v>
      </c>
      <c r="H51" s="9">
        <f>SUM(H49,H50)</f>
        <v>5257</v>
      </c>
      <c r="I51" s="5"/>
      <c r="J51" s="5"/>
      <c r="K51" s="238" t="s">
        <v>17</v>
      </c>
      <c r="L51" s="251"/>
      <c r="M51" s="10">
        <f>SUM(M49,M50)</f>
        <v>0.83556615892824371</v>
      </c>
      <c r="N51" s="10">
        <f>SUM(N49,N50)</f>
        <v>0.103321710405579</v>
      </c>
      <c r="O51" s="10">
        <f>SUM(O49,O50)</f>
        <v>2.5876307579372364E-2</v>
      </c>
      <c r="P51" s="10">
        <f>SUM(P49,P50)</f>
        <v>0</v>
      </c>
      <c r="Q51" s="11">
        <f>SUM(Q49,Q50)</f>
        <v>0.96476417691319516</v>
      </c>
    </row>
    <row r="52" spans="2:17" ht="20.149999999999999" customHeight="1" thickBot="1" x14ac:dyDescent="0.4">
      <c r="B52" s="252"/>
      <c r="C52" s="253"/>
      <c r="D52" s="253"/>
      <c r="E52" s="253"/>
      <c r="F52" s="253"/>
      <c r="G52" s="253"/>
      <c r="H52" s="254"/>
      <c r="I52" s="5"/>
      <c r="J52" s="5"/>
      <c r="K52" s="252"/>
      <c r="L52" s="253"/>
      <c r="M52" s="253"/>
      <c r="N52" s="253"/>
      <c r="O52" s="253"/>
      <c r="P52" s="253"/>
      <c r="Q52" s="254"/>
    </row>
    <row r="53" spans="2:17" ht="20.149999999999999" customHeight="1" thickTop="1" thickBot="1" x14ac:dyDescent="0.4">
      <c r="B53" s="255" t="s">
        <v>7</v>
      </c>
      <c r="C53" s="12" t="s">
        <v>11</v>
      </c>
      <c r="D53" s="183">
        <v>154</v>
      </c>
      <c r="E53" s="83">
        <v>6</v>
      </c>
      <c r="F53" s="183">
        <v>12</v>
      </c>
      <c r="G53" s="83">
        <v>0</v>
      </c>
      <c r="H53" s="12">
        <f>SUM(D53,E53,F53,G53)</f>
        <v>172</v>
      </c>
      <c r="I53" s="5"/>
      <c r="J53" s="5"/>
      <c r="K53" s="255" t="s">
        <v>7</v>
      </c>
      <c r="L53" s="12" t="s">
        <v>11</v>
      </c>
      <c r="M53" s="13">
        <f>D53/H57</f>
        <v>2.8262066434208113E-2</v>
      </c>
      <c r="N53" s="13">
        <f>E53/H57</f>
        <v>1.1011194714626537E-3</v>
      </c>
      <c r="O53" s="13">
        <f>F53/H57</f>
        <v>2.2022389429253073E-3</v>
      </c>
      <c r="P53" s="13">
        <f>G53/H57</f>
        <v>0</v>
      </c>
      <c r="Q53" s="13">
        <f>SUM(M53,N53,O53,P53)</f>
        <v>3.1565424848596077E-2</v>
      </c>
    </row>
    <row r="54" spans="2:17" ht="20.149999999999999" customHeight="1" thickTop="1" thickBot="1" x14ac:dyDescent="0.4">
      <c r="B54" s="256"/>
      <c r="C54" s="12" t="s">
        <v>12</v>
      </c>
      <c r="D54" s="183">
        <v>15</v>
      </c>
      <c r="E54" s="83">
        <v>5</v>
      </c>
      <c r="F54" s="183">
        <v>0</v>
      </c>
      <c r="G54" s="83">
        <v>0</v>
      </c>
      <c r="H54" s="12">
        <f>SUM(D54,E54,F54:G54)</f>
        <v>20</v>
      </c>
      <c r="I54" s="5"/>
      <c r="J54" s="5"/>
      <c r="K54" s="256"/>
      <c r="L54" s="12" t="s">
        <v>12</v>
      </c>
      <c r="M54" s="13">
        <f>D54/H57</f>
        <v>2.7527986786566342E-3</v>
      </c>
      <c r="N54" s="13">
        <f>E54/H57</f>
        <v>9.1759955955221138E-4</v>
      </c>
      <c r="O54" s="13">
        <f>F54/H57</f>
        <v>0</v>
      </c>
      <c r="P54" s="13">
        <f>G54/H57</f>
        <v>0</v>
      </c>
      <c r="Q54" s="13">
        <f>SUM(M54,N54,O54:P54)</f>
        <v>3.6703982382088455E-3</v>
      </c>
    </row>
    <row r="55" spans="2:17" ht="20.149999999999999" customHeight="1" thickTop="1" x14ac:dyDescent="0.35">
      <c r="B55" s="238" t="s">
        <v>18</v>
      </c>
      <c r="C55" s="239"/>
      <c r="D55" s="14">
        <f>SUM(D53,D54)</f>
        <v>169</v>
      </c>
      <c r="E55" s="14">
        <f>SUM(E53,E54)</f>
        <v>11</v>
      </c>
      <c r="F55" s="14">
        <f>SUM(F53,F54)</f>
        <v>12</v>
      </c>
      <c r="G55" s="14">
        <f>SUM(G53,G54)</f>
        <v>0</v>
      </c>
      <c r="H55" s="9">
        <f>SUM(H53,H54)</f>
        <v>192</v>
      </c>
      <c r="I55" s="5"/>
      <c r="J55" s="5"/>
      <c r="K55" s="238" t="s">
        <v>18</v>
      </c>
      <c r="L55" s="239"/>
      <c r="M55" s="15">
        <f>SUM(M53,M54)</f>
        <v>3.1014865112864748E-2</v>
      </c>
      <c r="N55" s="15">
        <f>SUM(N53,N54)</f>
        <v>2.0187190310148651E-3</v>
      </c>
      <c r="O55" s="15">
        <f>SUM(O53,O54)</f>
        <v>2.2022389429253073E-3</v>
      </c>
      <c r="P55" s="15">
        <f>SUM(P53,P54)</f>
        <v>0</v>
      </c>
      <c r="Q55" s="11">
        <f>SUM(Q53,Q54)</f>
        <v>3.5235823086804924E-2</v>
      </c>
    </row>
    <row r="56" spans="2:17" ht="20.149999999999999" customHeight="1" thickBot="1" x14ac:dyDescent="0.4">
      <c r="B56" s="240"/>
      <c r="C56" s="241"/>
      <c r="D56" s="241"/>
      <c r="E56" s="241"/>
      <c r="F56" s="241"/>
      <c r="G56" s="241"/>
      <c r="H56" s="242"/>
      <c r="I56" s="5"/>
      <c r="J56" s="5"/>
      <c r="K56" s="240"/>
      <c r="L56" s="241"/>
      <c r="M56" s="241"/>
      <c r="N56" s="241"/>
      <c r="O56" s="241"/>
      <c r="P56" s="241"/>
      <c r="Q56" s="242"/>
    </row>
    <row r="57" spans="2:17" ht="20.149999999999999" customHeight="1" thickBot="1" x14ac:dyDescent="0.4">
      <c r="B57" s="243" t="s">
        <v>0</v>
      </c>
      <c r="C57" s="244"/>
      <c r="D57" s="16">
        <f>SUM(D51,D55)</f>
        <v>4722</v>
      </c>
      <c r="E57" s="16">
        <f>SUM(E51,E55)</f>
        <v>574</v>
      </c>
      <c r="F57" s="16">
        <f>SUM(F51,F55)</f>
        <v>153</v>
      </c>
      <c r="G57" s="16">
        <f>SUM(G51,G55)</f>
        <v>0</v>
      </c>
      <c r="H57" s="16">
        <f>SUM(H51,H55)</f>
        <v>5449</v>
      </c>
      <c r="I57" s="5"/>
      <c r="J57" s="5"/>
      <c r="K57" s="243" t="s">
        <v>0</v>
      </c>
      <c r="L57" s="244"/>
      <c r="M57" s="17">
        <f>SUM(M51,M55)</f>
        <v>0.86658102404110848</v>
      </c>
      <c r="N57" s="17">
        <f>SUM(N51,N55)</f>
        <v>0.10534042943659386</v>
      </c>
      <c r="O57" s="18">
        <f>SUM(O51,O55)</f>
        <v>2.807854652229767E-2</v>
      </c>
      <c r="P57" s="18">
        <f>SUM(P51,P55)</f>
        <v>0</v>
      </c>
      <c r="Q57" s="18">
        <f>SUM(Q51,Q55)</f>
        <v>1</v>
      </c>
    </row>
    <row r="58" spans="2:17" ht="20.149999999999999" customHeight="1" x14ac:dyDescent="0.35">
      <c r="B58" s="232" t="s">
        <v>8</v>
      </c>
      <c r="C58" s="234" t="s">
        <v>15</v>
      </c>
      <c r="D58" s="235"/>
      <c r="E58" s="234" t="s">
        <v>16</v>
      </c>
      <c r="F58" s="235"/>
      <c r="G58" s="236" t="s">
        <v>1</v>
      </c>
      <c r="H58" s="237"/>
      <c r="I58" s="5"/>
      <c r="J58" s="5"/>
      <c r="K58" s="232" t="s">
        <v>8</v>
      </c>
      <c r="L58" s="234" t="s">
        <v>15</v>
      </c>
      <c r="M58" s="235"/>
      <c r="N58" s="234" t="s">
        <v>16</v>
      </c>
      <c r="O58" s="235"/>
      <c r="P58" s="236" t="s">
        <v>1</v>
      </c>
      <c r="Q58" s="237"/>
    </row>
    <row r="59" spans="2:17" ht="20.149999999999999" customHeight="1" x14ac:dyDescent="0.35">
      <c r="B59" s="233"/>
      <c r="C59" s="245">
        <f>SUM(H49,H53)</f>
        <v>4644</v>
      </c>
      <c r="D59" s="246"/>
      <c r="E59" s="245">
        <f>SUM(H50,H54)</f>
        <v>805</v>
      </c>
      <c r="F59" s="246"/>
      <c r="G59" s="245">
        <f>SUM(H49,H50,H53,H54)</f>
        <v>5449</v>
      </c>
      <c r="H59" s="246"/>
      <c r="I59" s="5"/>
      <c r="J59" s="5"/>
      <c r="K59" s="233"/>
      <c r="L59" s="247">
        <f>SUM(Q49,Q53)</f>
        <v>0.85226647091209395</v>
      </c>
      <c r="M59" s="248"/>
      <c r="N59" s="247">
        <f>SUM(Q50,Q54)</f>
        <v>0.14773352908790602</v>
      </c>
      <c r="O59" s="248"/>
      <c r="P59" s="249">
        <f>SUM(Q49,Q50,Q53,Q54)</f>
        <v>1</v>
      </c>
      <c r="Q59" s="250"/>
    </row>
    <row r="60" spans="2:17" ht="20.149999999999999" customHeight="1" x14ac:dyDescent="0.3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2:17" ht="20.149999999999999" customHeight="1" x14ac:dyDescent="0.3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2:17" ht="20.149999999999999" customHeight="1" x14ac:dyDescent="0.3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2:17" ht="20.149999999999999" customHeight="1" x14ac:dyDescent="0.3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2:17" ht="20.149999999999999" customHeight="1" x14ac:dyDescent="0.3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2:17" ht="20.149999999999999" customHeight="1" x14ac:dyDescent="0.35">
      <c r="B65" s="5">
        <v>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2:17" ht="20.149999999999999" customHeight="1" x14ac:dyDescent="0.35">
      <c r="B66" s="263" t="s">
        <v>105</v>
      </c>
      <c r="C66" s="258"/>
      <c r="D66" s="258"/>
      <c r="E66" s="258"/>
      <c r="F66" s="258"/>
      <c r="G66" s="258"/>
      <c r="H66" s="259"/>
      <c r="I66" s="5"/>
      <c r="J66" s="5"/>
      <c r="K66" s="263" t="s">
        <v>106</v>
      </c>
      <c r="L66" s="258"/>
      <c r="M66" s="258"/>
      <c r="N66" s="258"/>
      <c r="O66" s="258"/>
      <c r="P66" s="258"/>
      <c r="Q66" s="259"/>
    </row>
    <row r="67" spans="2:17" ht="20.149999999999999" customHeight="1" x14ac:dyDescent="0.35">
      <c r="B67" s="260"/>
      <c r="C67" s="261"/>
      <c r="D67" s="261"/>
      <c r="E67" s="261"/>
      <c r="F67" s="261"/>
      <c r="G67" s="261"/>
      <c r="H67" s="262"/>
      <c r="I67" s="5"/>
      <c r="J67" s="5"/>
      <c r="K67" s="260"/>
      <c r="L67" s="261"/>
      <c r="M67" s="261"/>
      <c r="N67" s="261"/>
      <c r="O67" s="261"/>
      <c r="P67" s="261"/>
      <c r="Q67" s="262"/>
    </row>
    <row r="68" spans="2:17" ht="20.149999999999999" customHeight="1" x14ac:dyDescent="0.35">
      <c r="B68" s="3" t="s">
        <v>14</v>
      </c>
      <c r="C68" s="6" t="s">
        <v>13</v>
      </c>
      <c r="D68" s="42" t="s">
        <v>3</v>
      </c>
      <c r="E68" s="42" t="s">
        <v>4</v>
      </c>
      <c r="F68" s="42" t="s">
        <v>10</v>
      </c>
      <c r="G68" s="42" t="s">
        <v>5</v>
      </c>
      <c r="H68" s="6" t="s">
        <v>1</v>
      </c>
      <c r="I68" s="5"/>
      <c r="J68" s="5"/>
      <c r="K68" s="3" t="s">
        <v>14</v>
      </c>
      <c r="L68" s="6" t="s">
        <v>13</v>
      </c>
      <c r="M68" s="6" t="s">
        <v>3</v>
      </c>
      <c r="N68" s="6" t="s">
        <v>4</v>
      </c>
      <c r="O68" s="6" t="s">
        <v>10</v>
      </c>
      <c r="P68" s="6" t="s">
        <v>5</v>
      </c>
      <c r="Q68" s="6" t="s">
        <v>1</v>
      </c>
    </row>
    <row r="69" spans="2:17" ht="20.149999999999999" customHeight="1" x14ac:dyDescent="0.35">
      <c r="B69" s="264" t="s">
        <v>6</v>
      </c>
      <c r="C69" s="160" t="s">
        <v>9</v>
      </c>
      <c r="D69" s="166">
        <v>4978</v>
      </c>
      <c r="E69" s="167">
        <v>236</v>
      </c>
      <c r="F69" s="166">
        <v>8</v>
      </c>
      <c r="G69" s="167">
        <v>0</v>
      </c>
      <c r="H69" s="161">
        <f>SUM(D69,E69,F69,G69)</f>
        <v>5222</v>
      </c>
      <c r="I69" s="5"/>
      <c r="J69" s="5"/>
      <c r="K69" s="264" t="s">
        <v>6</v>
      </c>
      <c r="L69" s="2" t="s">
        <v>9</v>
      </c>
      <c r="M69" s="7">
        <f>D69/H77</f>
        <v>0.79482676033849597</v>
      </c>
      <c r="N69" s="7">
        <f>E69/H77</f>
        <v>3.76816222257704E-2</v>
      </c>
      <c r="O69" s="7">
        <f>F69/H77</f>
        <v>1.2773431262973016E-3</v>
      </c>
      <c r="P69" s="7">
        <f>G69/H77</f>
        <v>0</v>
      </c>
      <c r="Q69" s="7">
        <f>SUM(M69,N69,O69,P69)</f>
        <v>0.83378572569056375</v>
      </c>
    </row>
    <row r="70" spans="2:17" ht="20.149999999999999" customHeight="1" x14ac:dyDescent="0.35">
      <c r="B70" s="265"/>
      <c r="C70" s="160" t="s">
        <v>2</v>
      </c>
      <c r="D70" s="166">
        <v>789</v>
      </c>
      <c r="E70" s="167">
        <v>84</v>
      </c>
      <c r="F70" s="166">
        <v>86</v>
      </c>
      <c r="G70" s="167">
        <v>0</v>
      </c>
      <c r="H70" s="161">
        <f>SUM(D70,E70,F70,G70)</f>
        <v>959</v>
      </c>
      <c r="I70" s="5"/>
      <c r="J70" s="5"/>
      <c r="K70" s="265"/>
      <c r="L70" s="2" t="s">
        <v>2</v>
      </c>
      <c r="M70" s="7">
        <f>D70/H77</f>
        <v>0.12597796583107138</v>
      </c>
      <c r="N70" s="7">
        <f>E70/H77</f>
        <v>1.3412102826121666E-2</v>
      </c>
      <c r="O70" s="7">
        <f>F70/H77</f>
        <v>1.3731438607695993E-2</v>
      </c>
      <c r="P70" s="7">
        <f>G70/H77</f>
        <v>0</v>
      </c>
      <c r="Q70" s="7">
        <f>SUM(M70,N70,O70,P70)</f>
        <v>0.15312150726488905</v>
      </c>
    </row>
    <row r="71" spans="2:17" ht="20.149999999999999" customHeight="1" thickBot="1" x14ac:dyDescent="0.4">
      <c r="B71" s="238" t="s">
        <v>17</v>
      </c>
      <c r="C71" s="271"/>
      <c r="D71" s="8">
        <f>SUM(D69,D70)</f>
        <v>5767</v>
      </c>
      <c r="E71" s="8">
        <f>SUM(E69,E70)</f>
        <v>320</v>
      </c>
      <c r="F71" s="8">
        <f>SUM(F69,F70)</f>
        <v>94</v>
      </c>
      <c r="G71" s="8">
        <f>SUM(G69,G70)</f>
        <v>0</v>
      </c>
      <c r="H71" s="176">
        <f>SUM(H69,H70)</f>
        <v>6181</v>
      </c>
      <c r="I71" s="5"/>
      <c r="J71" s="5"/>
      <c r="K71" s="238" t="s">
        <v>17</v>
      </c>
      <c r="L71" s="251"/>
      <c r="M71" s="10">
        <f>SUM(M69,M70)</f>
        <v>0.92080472616956732</v>
      </c>
      <c r="N71" s="10">
        <f>SUM(N69,N70)</f>
        <v>5.1093725051892067E-2</v>
      </c>
      <c r="O71" s="10">
        <f>SUM(O69,O70)</f>
        <v>1.5008781733993294E-2</v>
      </c>
      <c r="P71" s="10">
        <f>SUM(P69,P70)</f>
        <v>0</v>
      </c>
      <c r="Q71" s="11">
        <f>SUM(Q69,Q70)</f>
        <v>0.9869072329554528</v>
      </c>
    </row>
    <row r="72" spans="2:17" ht="20.149999999999999" customHeight="1" thickTop="1" thickBot="1" x14ac:dyDescent="0.4">
      <c r="B72" s="267"/>
      <c r="C72" s="267"/>
      <c r="D72" s="268"/>
      <c r="E72" s="268"/>
      <c r="F72" s="269"/>
      <c r="G72" s="269"/>
      <c r="H72" s="254"/>
      <c r="I72" s="5"/>
      <c r="J72" s="5"/>
      <c r="K72" s="252"/>
      <c r="L72" s="253"/>
      <c r="M72" s="253"/>
      <c r="N72" s="253"/>
      <c r="O72" s="253"/>
      <c r="P72" s="253"/>
      <c r="Q72" s="254"/>
    </row>
    <row r="73" spans="2:17" ht="20.149999999999999" customHeight="1" thickTop="1" x14ac:dyDescent="0.35">
      <c r="B73" s="255" t="s">
        <v>7</v>
      </c>
      <c r="C73" s="163" t="s">
        <v>11</v>
      </c>
      <c r="D73" s="168">
        <v>72</v>
      </c>
      <c r="E73" s="169">
        <v>4</v>
      </c>
      <c r="F73" s="168">
        <v>0</v>
      </c>
      <c r="G73" s="169">
        <v>0</v>
      </c>
      <c r="H73" s="164">
        <f>SUM(D73,E73,F73,G73)</f>
        <v>76</v>
      </c>
      <c r="I73" s="5"/>
      <c r="J73" s="5"/>
      <c r="K73" s="255" t="s">
        <v>7</v>
      </c>
      <c r="L73" s="12" t="s">
        <v>11</v>
      </c>
      <c r="M73" s="13">
        <f>D73/H77</f>
        <v>1.1496088136675714E-2</v>
      </c>
      <c r="N73" s="13">
        <f>E73/H77</f>
        <v>6.3867156314865081E-4</v>
      </c>
      <c r="O73" s="13">
        <f>F73/H77</f>
        <v>0</v>
      </c>
      <c r="P73" s="13">
        <f>G73/H77</f>
        <v>0</v>
      </c>
      <c r="Q73" s="13">
        <f>SUM(M73,N73,O73,P73)</f>
        <v>1.2134759699824365E-2</v>
      </c>
    </row>
    <row r="74" spans="2:17" ht="20.149999999999999" customHeight="1" x14ac:dyDescent="0.35">
      <c r="B74" s="256"/>
      <c r="C74" s="163" t="s">
        <v>12</v>
      </c>
      <c r="D74" s="168">
        <v>6</v>
      </c>
      <c r="E74" s="169">
        <v>0</v>
      </c>
      <c r="F74" s="168">
        <v>0</v>
      </c>
      <c r="G74" s="169">
        <v>0</v>
      </c>
      <c r="H74" s="164">
        <f>SUM(D74,E74,F74:G74)</f>
        <v>6</v>
      </c>
      <c r="I74" s="5"/>
      <c r="J74" s="5"/>
      <c r="K74" s="256"/>
      <c r="L74" s="12" t="s">
        <v>12</v>
      </c>
      <c r="M74" s="13">
        <f>D74/H77</f>
        <v>9.5800734472297616E-4</v>
      </c>
      <c r="N74" s="13">
        <f>E74/H77</f>
        <v>0</v>
      </c>
      <c r="O74" s="13">
        <f>F74/H77</f>
        <v>0</v>
      </c>
      <c r="P74" s="13">
        <f>G74/H77</f>
        <v>0</v>
      </c>
      <c r="Q74" s="13">
        <f>SUM(M74,N74,O74:P74)</f>
        <v>9.5800734472297616E-4</v>
      </c>
    </row>
    <row r="75" spans="2:17" ht="20.149999999999999" customHeight="1" x14ac:dyDescent="0.35">
      <c r="B75" s="238" t="s">
        <v>18</v>
      </c>
      <c r="C75" s="270"/>
      <c r="D75" s="14">
        <f>SUM(D73,D74)</f>
        <v>78</v>
      </c>
      <c r="E75" s="14">
        <f>SUM(E73,E74)</f>
        <v>4</v>
      </c>
      <c r="F75" s="14">
        <f>SUM(F73,F74)</f>
        <v>0</v>
      </c>
      <c r="G75" s="14">
        <f>SUM(G73,G74)</f>
        <v>0</v>
      </c>
      <c r="H75" s="176">
        <f>SUM(H73,H74)</f>
        <v>82</v>
      </c>
      <c r="I75" s="5"/>
      <c r="J75" s="5"/>
      <c r="K75" s="238" t="s">
        <v>18</v>
      </c>
      <c r="L75" s="239"/>
      <c r="M75" s="15">
        <f>SUM(M73,M74)</f>
        <v>1.245409548139869E-2</v>
      </c>
      <c r="N75" s="15">
        <f>SUM(N73,N74)</f>
        <v>6.3867156314865081E-4</v>
      </c>
      <c r="O75" s="15">
        <f>SUM(O73,O74)</f>
        <v>0</v>
      </c>
      <c r="P75" s="15">
        <f>SUM(P73,P74)</f>
        <v>0</v>
      </c>
      <c r="Q75" s="11">
        <f>SUM(Q73,Q74)</f>
        <v>1.3092767044547341E-2</v>
      </c>
    </row>
    <row r="76" spans="2:17" ht="20.149999999999999" customHeight="1" thickBot="1" x14ac:dyDescent="0.4">
      <c r="B76" s="240"/>
      <c r="C76" s="241"/>
      <c r="D76" s="241"/>
      <c r="E76" s="241"/>
      <c r="F76" s="241"/>
      <c r="G76" s="241"/>
      <c r="H76" s="242"/>
      <c r="I76" s="5"/>
      <c r="J76" s="5"/>
      <c r="K76" s="240"/>
      <c r="L76" s="241"/>
      <c r="M76" s="241"/>
      <c r="N76" s="241"/>
      <c r="O76" s="241"/>
      <c r="P76" s="241"/>
      <c r="Q76" s="242"/>
    </row>
    <row r="77" spans="2:17" ht="20.149999999999999" customHeight="1" thickBot="1" x14ac:dyDescent="0.4">
      <c r="B77" s="243" t="s">
        <v>0</v>
      </c>
      <c r="C77" s="244"/>
      <c r="D77" s="16">
        <f>SUM(D71,D75)</f>
        <v>5845</v>
      </c>
      <c r="E77" s="16">
        <f>SUM(E71,E75)</f>
        <v>324</v>
      </c>
      <c r="F77" s="16">
        <f>SUM(F71,F75)</f>
        <v>94</v>
      </c>
      <c r="G77" s="16">
        <f>SUM(G71,G75)</f>
        <v>0</v>
      </c>
      <c r="H77" s="16">
        <f>SUM(H71,H75)</f>
        <v>6263</v>
      </c>
      <c r="I77" s="5"/>
      <c r="J77" s="5"/>
      <c r="K77" s="243" t="s">
        <v>0</v>
      </c>
      <c r="L77" s="244"/>
      <c r="M77" s="17">
        <f>SUM(M71,M75)</f>
        <v>0.93325882165096596</v>
      </c>
      <c r="N77" s="17">
        <f>SUM(N71,N75)</f>
        <v>5.173239661504072E-2</v>
      </c>
      <c r="O77" s="18">
        <f>SUM(O71,O75)</f>
        <v>1.5008781733993294E-2</v>
      </c>
      <c r="P77" s="18">
        <f>SUM(P71,P75)</f>
        <v>0</v>
      </c>
      <c r="Q77" s="18">
        <f>SUM(Q71,Q75)</f>
        <v>1.0000000000000002</v>
      </c>
    </row>
    <row r="78" spans="2:17" ht="20.149999999999999" customHeight="1" x14ac:dyDescent="0.35">
      <c r="B78" s="232" t="s">
        <v>8</v>
      </c>
      <c r="C78" s="234" t="s">
        <v>15</v>
      </c>
      <c r="D78" s="235"/>
      <c r="E78" s="234" t="s">
        <v>16</v>
      </c>
      <c r="F78" s="235"/>
      <c r="G78" s="236" t="s">
        <v>1</v>
      </c>
      <c r="H78" s="237"/>
      <c r="I78" s="5"/>
      <c r="J78" s="5"/>
      <c r="K78" s="232" t="s">
        <v>8</v>
      </c>
      <c r="L78" s="234" t="s">
        <v>15</v>
      </c>
      <c r="M78" s="235"/>
      <c r="N78" s="234" t="s">
        <v>16</v>
      </c>
      <c r="O78" s="235"/>
      <c r="P78" s="236" t="s">
        <v>1</v>
      </c>
      <c r="Q78" s="237"/>
    </row>
    <row r="79" spans="2:17" ht="20.149999999999999" customHeight="1" x14ac:dyDescent="0.35">
      <c r="B79" s="233"/>
      <c r="C79" s="245">
        <f>SUM(H69,H73)</f>
        <v>5298</v>
      </c>
      <c r="D79" s="246"/>
      <c r="E79" s="245">
        <f>SUM(H70,H74)</f>
        <v>965</v>
      </c>
      <c r="F79" s="246"/>
      <c r="G79" s="245">
        <f>SUM(H69,H70,H73,H74)</f>
        <v>6263</v>
      </c>
      <c r="H79" s="246"/>
      <c r="I79" s="5"/>
      <c r="J79" s="5"/>
      <c r="K79" s="233"/>
      <c r="L79" s="247">
        <f>SUM(Q69,Q73)</f>
        <v>0.84592048539038811</v>
      </c>
      <c r="M79" s="248"/>
      <c r="N79" s="247">
        <f>SUM(Q70,Q74)</f>
        <v>0.15407951460961203</v>
      </c>
      <c r="O79" s="248"/>
      <c r="P79" s="249">
        <f>SUM(Q69,Q70,Q73,Q74)</f>
        <v>1.0000000000000002</v>
      </c>
      <c r="Q79" s="250"/>
    </row>
    <row r="80" spans="2:17" ht="20.149999999999999" customHeight="1" x14ac:dyDescent="0.3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2:17" ht="20.149999999999999" customHeight="1" x14ac:dyDescent="0.35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2:17" ht="20.149999999999999" customHeight="1" x14ac:dyDescent="0.35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2:17" ht="20.149999999999999" customHeight="1" x14ac:dyDescent="0.35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2:17" ht="20.149999999999999" customHeight="1" x14ac:dyDescent="0.35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2:17" ht="20.149999999999999" customHeight="1" x14ac:dyDescent="0.3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2:17" ht="20.149999999999999" customHeight="1" x14ac:dyDescent="0.35">
      <c r="B86" s="5">
        <v>5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2:17" ht="20.149999999999999" customHeight="1" x14ac:dyDescent="0.35">
      <c r="B87" s="263" t="s">
        <v>107</v>
      </c>
      <c r="C87" s="258"/>
      <c r="D87" s="258"/>
      <c r="E87" s="258"/>
      <c r="F87" s="258"/>
      <c r="G87" s="258"/>
      <c r="H87" s="259"/>
      <c r="I87" s="5"/>
      <c r="J87" s="5"/>
      <c r="K87" s="263" t="s">
        <v>108</v>
      </c>
      <c r="L87" s="258"/>
      <c r="M87" s="258"/>
      <c r="N87" s="258"/>
      <c r="O87" s="258"/>
      <c r="P87" s="258"/>
      <c r="Q87" s="259"/>
    </row>
    <row r="88" spans="2:17" ht="20.149999999999999" customHeight="1" x14ac:dyDescent="0.35">
      <c r="B88" s="260"/>
      <c r="C88" s="261"/>
      <c r="D88" s="261"/>
      <c r="E88" s="261"/>
      <c r="F88" s="261"/>
      <c r="G88" s="261"/>
      <c r="H88" s="262"/>
      <c r="I88" s="5"/>
      <c r="J88" s="5"/>
      <c r="K88" s="260"/>
      <c r="L88" s="261"/>
      <c r="M88" s="261"/>
      <c r="N88" s="261"/>
      <c r="O88" s="261"/>
      <c r="P88" s="261"/>
      <c r="Q88" s="262"/>
    </row>
    <row r="89" spans="2:17" ht="20.149999999999999" customHeight="1" x14ac:dyDescent="0.35">
      <c r="B89" s="3" t="s">
        <v>14</v>
      </c>
      <c r="C89" s="6" t="s">
        <v>13</v>
      </c>
      <c r="D89" s="42" t="s">
        <v>3</v>
      </c>
      <c r="E89" s="42" t="s">
        <v>4</v>
      </c>
      <c r="F89" s="42" t="s">
        <v>10</v>
      </c>
      <c r="G89" s="42" t="s">
        <v>5</v>
      </c>
      <c r="H89" s="6" t="s">
        <v>1</v>
      </c>
      <c r="I89" s="5"/>
      <c r="J89" s="5"/>
      <c r="K89" s="3" t="s">
        <v>14</v>
      </c>
      <c r="L89" s="6" t="s">
        <v>13</v>
      </c>
      <c r="M89" s="6" t="s">
        <v>3</v>
      </c>
      <c r="N89" s="6" t="s">
        <v>4</v>
      </c>
      <c r="O89" s="6" t="s">
        <v>10</v>
      </c>
      <c r="P89" s="6" t="s">
        <v>5</v>
      </c>
      <c r="Q89" s="6" t="s">
        <v>1</v>
      </c>
    </row>
    <row r="90" spans="2:17" x14ac:dyDescent="0.35">
      <c r="B90" s="264" t="s">
        <v>6</v>
      </c>
      <c r="C90" s="160" t="s">
        <v>9</v>
      </c>
      <c r="D90" s="166">
        <v>21126</v>
      </c>
      <c r="E90" s="167">
        <v>7185</v>
      </c>
      <c r="F90" s="166">
        <v>0</v>
      </c>
      <c r="G90" s="167">
        <v>0</v>
      </c>
      <c r="H90" s="161">
        <f>SUM(D90,E90,F90,G90)</f>
        <v>28311</v>
      </c>
      <c r="I90" s="5"/>
      <c r="J90" s="5"/>
      <c r="K90" s="264" t="s">
        <v>6</v>
      </c>
      <c r="L90" s="2" t="s">
        <v>9</v>
      </c>
      <c r="M90" s="7">
        <f>D90/H98</f>
        <v>0.43390568517909955</v>
      </c>
      <c r="N90" s="7">
        <f>E90/H98</f>
        <v>0.14757229707525468</v>
      </c>
      <c r="O90" s="7">
        <f>F90/H98</f>
        <v>0</v>
      </c>
      <c r="P90" s="7">
        <f>G90/H98</f>
        <v>0</v>
      </c>
      <c r="Q90" s="7">
        <f>SUM(M90,N90,O90,P90)</f>
        <v>0.58147798225435421</v>
      </c>
    </row>
    <row r="91" spans="2:17" ht="20.149999999999999" customHeight="1" x14ac:dyDescent="0.35">
      <c r="B91" s="265"/>
      <c r="C91" s="160" t="s">
        <v>2</v>
      </c>
      <c r="D91" s="166">
        <v>13502</v>
      </c>
      <c r="E91" s="167">
        <v>5402</v>
      </c>
      <c r="F91" s="166">
        <v>0</v>
      </c>
      <c r="G91" s="167">
        <v>0</v>
      </c>
      <c r="H91" s="161">
        <f>SUM(D91,E91,F91,G91)</f>
        <v>18904</v>
      </c>
      <c r="I91" s="5"/>
      <c r="J91" s="5"/>
      <c r="K91" s="265"/>
      <c r="L91" s="2" t="s">
        <v>2</v>
      </c>
      <c r="M91" s="7">
        <f>D91/H98</f>
        <v>0.27731679263884323</v>
      </c>
      <c r="N91" s="7">
        <f>E91/H98</f>
        <v>0.11095136378573776</v>
      </c>
      <c r="O91" s="7">
        <f>F91/H98</f>
        <v>0</v>
      </c>
      <c r="P91" s="7">
        <f>G91/H98</f>
        <v>0</v>
      </c>
      <c r="Q91" s="7">
        <f>SUM(M91,N91,O91,P91)</f>
        <v>0.38826815642458101</v>
      </c>
    </row>
    <row r="92" spans="2:17" ht="20.149999999999999" customHeight="1" x14ac:dyDescent="0.35">
      <c r="B92" s="238" t="s">
        <v>17</v>
      </c>
      <c r="C92" s="251"/>
      <c r="D92" s="162">
        <f>SUM(D90,D91)</f>
        <v>34628</v>
      </c>
      <c r="E92" s="162">
        <f>SUM(E90,E91)</f>
        <v>12587</v>
      </c>
      <c r="F92" s="162">
        <f>SUM(F90,F91)</f>
        <v>0</v>
      </c>
      <c r="G92" s="162">
        <f>SUM(G90,G91)</f>
        <v>0</v>
      </c>
      <c r="H92" s="9">
        <f>SUM(H90,H91)</f>
        <v>47215</v>
      </c>
      <c r="I92" s="5"/>
      <c r="J92" s="5"/>
      <c r="K92" s="238" t="s">
        <v>17</v>
      </c>
      <c r="L92" s="251"/>
      <c r="M92" s="10">
        <f>SUM(M90,M91)</f>
        <v>0.71122247781794279</v>
      </c>
      <c r="N92" s="10">
        <f>SUM(N90,N91)</f>
        <v>0.25852366086099243</v>
      </c>
      <c r="O92" s="10">
        <f>SUM(O90,O91)</f>
        <v>0</v>
      </c>
      <c r="P92" s="10">
        <f>SUM(P90,P91)</f>
        <v>0</v>
      </c>
      <c r="Q92" s="11">
        <f>SUM(Q90,Q91)</f>
        <v>0.96974613867893522</v>
      </c>
    </row>
    <row r="93" spans="2:17" ht="20.149999999999999" customHeight="1" x14ac:dyDescent="0.35">
      <c r="B93" s="252"/>
      <c r="C93" s="253"/>
      <c r="D93" s="266"/>
      <c r="E93" s="266"/>
      <c r="F93" s="266"/>
      <c r="G93" s="266"/>
      <c r="H93" s="254"/>
      <c r="I93" s="5"/>
      <c r="J93" s="5"/>
      <c r="K93" s="252"/>
      <c r="L93" s="253"/>
      <c r="M93" s="253"/>
      <c r="N93" s="253"/>
      <c r="O93" s="253"/>
      <c r="P93" s="253"/>
      <c r="Q93" s="254"/>
    </row>
    <row r="94" spans="2:17" ht="20.149999999999999" customHeight="1" x14ac:dyDescent="0.35">
      <c r="B94" s="255" t="s">
        <v>7</v>
      </c>
      <c r="C94" s="163" t="s">
        <v>11</v>
      </c>
      <c r="D94" s="168">
        <v>676</v>
      </c>
      <c r="E94" s="169">
        <v>297</v>
      </c>
      <c r="F94" s="168">
        <v>0</v>
      </c>
      <c r="G94" s="169">
        <v>0</v>
      </c>
      <c r="H94" s="164">
        <f>SUM(D94,E94,F94,G94)</f>
        <v>973</v>
      </c>
      <c r="I94" s="5"/>
      <c r="J94" s="5"/>
      <c r="K94" s="255" t="s">
        <v>7</v>
      </c>
      <c r="L94" s="12" t="s">
        <v>11</v>
      </c>
      <c r="M94" s="13">
        <f>D94/H98</f>
        <v>1.3884324679592507E-2</v>
      </c>
      <c r="N94" s="13">
        <f>E94/H98</f>
        <v>6.100065724613868E-3</v>
      </c>
      <c r="O94" s="13">
        <f>F94/H98</f>
        <v>0</v>
      </c>
      <c r="P94" s="13">
        <f>G94/H98</f>
        <v>0</v>
      </c>
      <c r="Q94" s="13">
        <f>SUM(M94,N94,O94,P94)</f>
        <v>1.9984390404206374E-2</v>
      </c>
    </row>
    <row r="95" spans="2:17" ht="20.149999999999999" customHeight="1" x14ac:dyDescent="0.35">
      <c r="B95" s="256"/>
      <c r="C95" s="163" t="s">
        <v>12</v>
      </c>
      <c r="D95" s="168">
        <v>340</v>
      </c>
      <c r="E95" s="169">
        <v>160</v>
      </c>
      <c r="F95" s="168">
        <v>0</v>
      </c>
      <c r="G95" s="169">
        <v>0</v>
      </c>
      <c r="H95" s="164">
        <f>SUM(D95,E95,F95:G95)</f>
        <v>500</v>
      </c>
      <c r="I95" s="5"/>
      <c r="J95" s="5"/>
      <c r="K95" s="256"/>
      <c r="L95" s="12" t="s">
        <v>12</v>
      </c>
      <c r="M95" s="13">
        <f>D95/H98</f>
        <v>6.9832402234636867E-3</v>
      </c>
      <c r="N95" s="13">
        <f>E95/H98</f>
        <v>3.2862306933946761E-3</v>
      </c>
      <c r="O95" s="13">
        <f>F95/H98</f>
        <v>0</v>
      </c>
      <c r="P95" s="13">
        <f>G95/H98</f>
        <v>0</v>
      </c>
      <c r="Q95" s="13">
        <f>SUM(M95,N95,O95:P95)</f>
        <v>1.0269470916858363E-2</v>
      </c>
    </row>
    <row r="96" spans="2:17" ht="20.149999999999999" customHeight="1" x14ac:dyDescent="0.35">
      <c r="B96" s="238" t="s">
        <v>18</v>
      </c>
      <c r="C96" s="239"/>
      <c r="D96" s="165">
        <f>SUM(D94,D95)</f>
        <v>1016</v>
      </c>
      <c r="E96" s="165">
        <f>SUM(E94,E95)</f>
        <v>457</v>
      </c>
      <c r="F96" s="165">
        <f>SUM(F94,F95)</f>
        <v>0</v>
      </c>
      <c r="G96" s="165">
        <f>SUM(G94,G95)</f>
        <v>0</v>
      </c>
      <c r="H96" s="9">
        <f>SUM(H94,H95)</f>
        <v>1473</v>
      </c>
      <c r="I96" s="5"/>
      <c r="J96" s="5"/>
      <c r="K96" s="238" t="s">
        <v>18</v>
      </c>
      <c r="L96" s="239"/>
      <c r="M96" s="15">
        <f>SUM(M94,M95)</f>
        <v>2.0867564903056194E-2</v>
      </c>
      <c r="N96" s="15">
        <f>SUM(N94,N95)</f>
        <v>9.3862964180085433E-3</v>
      </c>
      <c r="O96" s="15">
        <f>SUM(O94,O95)</f>
        <v>0</v>
      </c>
      <c r="P96" s="15">
        <f>SUM(P94,P95)</f>
        <v>0</v>
      </c>
      <c r="Q96" s="11">
        <f>SUM(Q94,Q95)</f>
        <v>3.0253861321064737E-2</v>
      </c>
    </row>
    <row r="97" spans="2:17" ht="20.149999999999999" customHeight="1" thickBot="1" x14ac:dyDescent="0.4">
      <c r="B97" s="240"/>
      <c r="C97" s="241"/>
      <c r="D97" s="241"/>
      <c r="E97" s="241"/>
      <c r="F97" s="241"/>
      <c r="G97" s="241"/>
      <c r="H97" s="242"/>
      <c r="I97" s="5"/>
      <c r="J97" s="5"/>
      <c r="K97" s="240"/>
      <c r="L97" s="241"/>
      <c r="M97" s="241"/>
      <c r="N97" s="241"/>
      <c r="O97" s="241"/>
      <c r="P97" s="241"/>
      <c r="Q97" s="242"/>
    </row>
    <row r="98" spans="2:17" ht="20.149999999999999" customHeight="1" thickBot="1" x14ac:dyDescent="0.4">
      <c r="B98" s="243" t="s">
        <v>0</v>
      </c>
      <c r="C98" s="244"/>
      <c r="D98" s="16">
        <f>SUM(D92,D96)</f>
        <v>35644</v>
      </c>
      <c r="E98" s="16">
        <f>SUM(E92,E96)</f>
        <v>13044</v>
      </c>
      <c r="F98" s="16">
        <f>SUM(F92,F96)</f>
        <v>0</v>
      </c>
      <c r="G98" s="16">
        <f>SUM(G92,G96)</f>
        <v>0</v>
      </c>
      <c r="H98" s="16">
        <f>SUM(H92,H96)</f>
        <v>48688</v>
      </c>
      <c r="I98" s="5"/>
      <c r="J98" s="5"/>
      <c r="K98" s="243" t="s">
        <v>0</v>
      </c>
      <c r="L98" s="244"/>
      <c r="M98" s="17">
        <f>SUM(M92,M96)</f>
        <v>0.73209004272099898</v>
      </c>
      <c r="N98" s="17">
        <f>SUM(N92,N96)</f>
        <v>0.26790995727900097</v>
      </c>
      <c r="O98" s="18">
        <f>SUM(O92,O96)</f>
        <v>0</v>
      </c>
      <c r="P98" s="18">
        <f>SUM(P92,P96)</f>
        <v>0</v>
      </c>
      <c r="Q98" s="18">
        <f>SUM(Q92,Q96)</f>
        <v>1</v>
      </c>
    </row>
    <row r="99" spans="2:17" ht="20.149999999999999" customHeight="1" x14ac:dyDescent="0.35">
      <c r="B99" s="232" t="s">
        <v>8</v>
      </c>
      <c r="C99" s="234" t="s">
        <v>15</v>
      </c>
      <c r="D99" s="235"/>
      <c r="E99" s="234" t="s">
        <v>16</v>
      </c>
      <c r="F99" s="235"/>
      <c r="G99" s="236" t="s">
        <v>1</v>
      </c>
      <c r="H99" s="237"/>
      <c r="I99" s="5"/>
      <c r="J99" s="5"/>
      <c r="K99" s="232" t="s">
        <v>8</v>
      </c>
      <c r="L99" s="234" t="s">
        <v>15</v>
      </c>
      <c r="M99" s="235"/>
      <c r="N99" s="234" t="s">
        <v>16</v>
      </c>
      <c r="O99" s="235"/>
      <c r="P99" s="236" t="s">
        <v>1</v>
      </c>
      <c r="Q99" s="237"/>
    </row>
    <row r="100" spans="2:17" ht="20.149999999999999" customHeight="1" x14ac:dyDescent="0.35">
      <c r="B100" s="233"/>
      <c r="C100" s="245">
        <f>SUM(H90,H94)</f>
        <v>29284</v>
      </c>
      <c r="D100" s="246"/>
      <c r="E100" s="245">
        <f>SUM(H91,H95)</f>
        <v>19404</v>
      </c>
      <c r="F100" s="246"/>
      <c r="G100" s="245">
        <f>SUM(H90,H91,H94,H95)</f>
        <v>48688</v>
      </c>
      <c r="H100" s="246"/>
      <c r="I100" s="5"/>
      <c r="J100" s="5"/>
      <c r="K100" s="233"/>
      <c r="L100" s="247">
        <f>SUM(Q90,Q94)</f>
        <v>0.60146237265856062</v>
      </c>
      <c r="M100" s="248"/>
      <c r="N100" s="247">
        <f>SUM(Q91,Q95)</f>
        <v>0.39853762734143938</v>
      </c>
      <c r="O100" s="248"/>
      <c r="P100" s="249">
        <f>SUM(Q90,Q91,Q94,Q95)</f>
        <v>1</v>
      </c>
      <c r="Q100" s="250"/>
    </row>
    <row r="101" spans="2:17" ht="20.149999999999999" customHeight="1" x14ac:dyDescent="0.3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2:17" ht="20.149999999999999" customHeight="1" x14ac:dyDescent="0.3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2:17" ht="20.149999999999999" customHeight="1" x14ac:dyDescent="0.3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2:17" ht="20.149999999999999" customHeight="1" x14ac:dyDescent="0.3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2:17" ht="20.149999999999999" customHeight="1" x14ac:dyDescent="0.3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2:17" ht="20.149999999999999" customHeight="1" x14ac:dyDescent="0.3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2:17" ht="20.149999999999999" customHeight="1" x14ac:dyDescent="0.35">
      <c r="B107" s="5">
        <v>6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2:17" ht="20.149999999999999" customHeight="1" x14ac:dyDescent="0.35">
      <c r="B108" s="263" t="s">
        <v>109</v>
      </c>
      <c r="C108" s="258"/>
      <c r="D108" s="258"/>
      <c r="E108" s="258"/>
      <c r="F108" s="258"/>
      <c r="G108" s="258"/>
      <c r="H108" s="259"/>
      <c r="I108" s="5"/>
      <c r="J108" s="5"/>
      <c r="K108" s="263" t="s">
        <v>110</v>
      </c>
      <c r="L108" s="258"/>
      <c r="M108" s="258"/>
      <c r="N108" s="258"/>
      <c r="O108" s="258"/>
      <c r="P108" s="258"/>
      <c r="Q108" s="259"/>
    </row>
    <row r="109" spans="2:17" ht="20.149999999999999" customHeight="1" x14ac:dyDescent="0.35">
      <c r="B109" s="260"/>
      <c r="C109" s="261"/>
      <c r="D109" s="261"/>
      <c r="E109" s="261"/>
      <c r="F109" s="261"/>
      <c r="G109" s="261"/>
      <c r="H109" s="262"/>
      <c r="I109" s="5"/>
      <c r="J109" s="5"/>
      <c r="K109" s="260"/>
      <c r="L109" s="261"/>
      <c r="M109" s="261"/>
      <c r="N109" s="261"/>
      <c r="O109" s="261"/>
      <c r="P109" s="261"/>
      <c r="Q109" s="262"/>
    </row>
    <row r="110" spans="2:17" ht="20.149999999999999" customHeight="1" x14ac:dyDescent="0.35">
      <c r="B110" s="3" t="s">
        <v>14</v>
      </c>
      <c r="C110" s="6" t="s">
        <v>13</v>
      </c>
      <c r="D110" s="42" t="s">
        <v>3</v>
      </c>
      <c r="E110" s="42" t="s">
        <v>4</v>
      </c>
      <c r="F110" s="42" t="s">
        <v>10</v>
      </c>
      <c r="G110" s="42" t="s">
        <v>5</v>
      </c>
      <c r="H110" s="6" t="s">
        <v>1</v>
      </c>
      <c r="I110" s="5"/>
      <c r="J110" s="5"/>
      <c r="K110" s="3" t="s">
        <v>14</v>
      </c>
      <c r="L110" s="6" t="s">
        <v>13</v>
      </c>
      <c r="M110" s="6" t="s">
        <v>3</v>
      </c>
      <c r="N110" s="6" t="s">
        <v>4</v>
      </c>
      <c r="O110" s="6" t="s">
        <v>10</v>
      </c>
      <c r="P110" s="6" t="s">
        <v>5</v>
      </c>
      <c r="Q110" s="6" t="s">
        <v>1</v>
      </c>
    </row>
    <row r="111" spans="2:17" ht="20.149999999999999" customHeight="1" x14ac:dyDescent="0.35">
      <c r="B111" s="264" t="s">
        <v>6</v>
      </c>
      <c r="C111" s="160" t="s">
        <v>9</v>
      </c>
      <c r="D111" s="166">
        <v>9373</v>
      </c>
      <c r="E111" s="167">
        <v>692</v>
      </c>
      <c r="F111" s="166">
        <v>0</v>
      </c>
      <c r="G111" s="167">
        <v>0</v>
      </c>
      <c r="H111" s="161">
        <f>SUM(D111,E111,F111,G111)</f>
        <v>10065</v>
      </c>
      <c r="I111" s="5"/>
      <c r="J111" s="5"/>
      <c r="K111" s="264" t="s">
        <v>6</v>
      </c>
      <c r="L111" s="2" t="s">
        <v>9</v>
      </c>
      <c r="M111" s="7">
        <f>D111/H119</f>
        <v>0.75802668823291552</v>
      </c>
      <c r="N111" s="7">
        <f>E111/H119</f>
        <v>5.5964415689446018E-2</v>
      </c>
      <c r="O111" s="7">
        <f>F111/H119</f>
        <v>0</v>
      </c>
      <c r="P111" s="7">
        <f>G111/H119</f>
        <v>0</v>
      </c>
      <c r="Q111" s="7">
        <f>SUM(M111,N111,O111,P111)</f>
        <v>0.81399110392236151</v>
      </c>
    </row>
    <row r="112" spans="2:17" ht="20.149999999999999" customHeight="1" x14ac:dyDescent="0.35">
      <c r="B112" s="265"/>
      <c r="C112" s="160" t="s">
        <v>2</v>
      </c>
      <c r="D112" s="166">
        <v>1858</v>
      </c>
      <c r="E112" s="167">
        <v>224</v>
      </c>
      <c r="F112" s="166">
        <v>0</v>
      </c>
      <c r="G112" s="167">
        <v>0</v>
      </c>
      <c r="H112" s="161">
        <f>SUM(D112,E112,F112,G112)</f>
        <v>2082</v>
      </c>
      <c r="I112" s="5"/>
      <c r="J112" s="5"/>
      <c r="K112" s="265"/>
      <c r="L112" s="2" t="s">
        <v>2</v>
      </c>
      <c r="M112" s="7">
        <f>D112/H119</f>
        <v>0.15026283865750101</v>
      </c>
      <c r="N112" s="7">
        <f>E112/H119</f>
        <v>1.8115649009300443E-2</v>
      </c>
      <c r="O112" s="7">
        <f>F112/H119</f>
        <v>0</v>
      </c>
      <c r="P112" s="7">
        <f>G112/H119</f>
        <v>0</v>
      </c>
      <c r="Q112" s="7">
        <f>SUM(M112,N112,O112,P112)</f>
        <v>0.16837848766680144</v>
      </c>
    </row>
    <row r="113" spans="2:17" ht="20.149999999999999" customHeight="1" x14ac:dyDescent="0.35">
      <c r="B113" s="238" t="s">
        <v>17</v>
      </c>
      <c r="C113" s="251"/>
      <c r="D113" s="162">
        <f>SUM(D111,D112)</f>
        <v>11231</v>
      </c>
      <c r="E113" s="162">
        <f>SUM(E111,E112)</f>
        <v>916</v>
      </c>
      <c r="F113" s="162">
        <f>SUM(F111,F112)</f>
        <v>0</v>
      </c>
      <c r="G113" s="162">
        <f>SUM(G111,G112)</f>
        <v>0</v>
      </c>
      <c r="H113" s="9">
        <f>SUM(H111,H112)</f>
        <v>12147</v>
      </c>
      <c r="I113" s="5"/>
      <c r="J113" s="5"/>
      <c r="K113" s="238" t="s">
        <v>17</v>
      </c>
      <c r="L113" s="251"/>
      <c r="M113" s="10">
        <f>SUM(M111,M112)</f>
        <v>0.90828952689041653</v>
      </c>
      <c r="N113" s="10">
        <f>SUM(N111,N112)</f>
        <v>7.4080064698746464E-2</v>
      </c>
      <c r="O113" s="10">
        <f>SUM(O111,O112)</f>
        <v>0</v>
      </c>
      <c r="P113" s="10">
        <f>SUM(P111,P112)</f>
        <v>0</v>
      </c>
      <c r="Q113" s="11">
        <f>SUM(Q111,Q112)</f>
        <v>0.98236959158916293</v>
      </c>
    </row>
    <row r="114" spans="2:17" ht="20.149999999999999" customHeight="1" x14ac:dyDescent="0.35">
      <c r="B114" s="252"/>
      <c r="C114" s="253"/>
      <c r="D114" s="266"/>
      <c r="E114" s="266"/>
      <c r="F114" s="266"/>
      <c r="G114" s="266"/>
      <c r="H114" s="254"/>
      <c r="I114" s="5"/>
      <c r="J114" s="5"/>
      <c r="K114" s="252"/>
      <c r="L114" s="253"/>
      <c r="M114" s="253"/>
      <c r="N114" s="253"/>
      <c r="O114" s="253"/>
      <c r="P114" s="253"/>
      <c r="Q114" s="254"/>
    </row>
    <row r="115" spans="2:17" ht="20.149999999999999" customHeight="1" x14ac:dyDescent="0.35">
      <c r="B115" s="255" t="s">
        <v>7</v>
      </c>
      <c r="C115" s="163" t="s">
        <v>11</v>
      </c>
      <c r="D115" s="168">
        <v>206</v>
      </c>
      <c r="E115" s="169">
        <v>1</v>
      </c>
      <c r="F115" s="168">
        <v>0</v>
      </c>
      <c r="G115" s="169">
        <v>0</v>
      </c>
      <c r="H115" s="164">
        <f>SUM(D115,E115,F115,G115)</f>
        <v>207</v>
      </c>
      <c r="I115" s="5"/>
      <c r="J115" s="5"/>
      <c r="K115" s="255" t="s">
        <v>7</v>
      </c>
      <c r="L115" s="12" t="s">
        <v>11</v>
      </c>
      <c r="M115" s="13">
        <f>D115/H119</f>
        <v>1.6659927213910231E-2</v>
      </c>
      <c r="N115" s="13">
        <f>E115/H119</f>
        <v>8.0873433077234132E-5</v>
      </c>
      <c r="O115" s="13">
        <f>F115/H119</f>
        <v>0</v>
      </c>
      <c r="P115" s="13">
        <f>G115/H119</f>
        <v>0</v>
      </c>
      <c r="Q115" s="13">
        <f>SUM(M115,N115,O115,P115)</f>
        <v>1.6740800646987464E-2</v>
      </c>
    </row>
    <row r="116" spans="2:17" ht="20.149999999999999" customHeight="1" x14ac:dyDescent="0.35">
      <c r="B116" s="256"/>
      <c r="C116" s="163" t="s">
        <v>12</v>
      </c>
      <c r="D116" s="168">
        <v>11</v>
      </c>
      <c r="E116" s="169">
        <v>0</v>
      </c>
      <c r="F116" s="168">
        <v>0</v>
      </c>
      <c r="G116" s="169">
        <v>0</v>
      </c>
      <c r="H116" s="164">
        <f>SUM(D116,E116,F116:G116)</f>
        <v>11</v>
      </c>
      <c r="I116" s="5"/>
      <c r="J116" s="5"/>
      <c r="K116" s="256"/>
      <c r="L116" s="12" t="s">
        <v>12</v>
      </c>
      <c r="M116" s="13">
        <f>D116/H119</f>
        <v>8.8960776384957544E-4</v>
      </c>
      <c r="N116" s="13">
        <f>E116/H119</f>
        <v>0</v>
      </c>
      <c r="O116" s="13">
        <f>F116/H119</f>
        <v>0</v>
      </c>
      <c r="P116" s="13">
        <f>G116/H119</f>
        <v>0</v>
      </c>
      <c r="Q116" s="13">
        <f>SUM(M116,N116,O116:P116)</f>
        <v>8.8960776384957544E-4</v>
      </c>
    </row>
    <row r="117" spans="2:17" ht="20.149999999999999" customHeight="1" x14ac:dyDescent="0.35">
      <c r="B117" s="238" t="s">
        <v>18</v>
      </c>
      <c r="C117" s="239"/>
      <c r="D117" s="165">
        <f>SUM(D115,D116)</f>
        <v>217</v>
      </c>
      <c r="E117" s="165">
        <f>SUM(E115,E116)</f>
        <v>1</v>
      </c>
      <c r="F117" s="165">
        <f>SUM(F115,F116)</f>
        <v>0</v>
      </c>
      <c r="G117" s="165">
        <f>SUM(G115,G116)</f>
        <v>0</v>
      </c>
      <c r="H117" s="9">
        <f>SUM(H115,H116)</f>
        <v>218</v>
      </c>
      <c r="I117" s="5"/>
      <c r="J117" s="5"/>
      <c r="K117" s="238" t="s">
        <v>18</v>
      </c>
      <c r="L117" s="239"/>
      <c r="M117" s="15">
        <f>SUM(M115,M116)</f>
        <v>1.7549534977759806E-2</v>
      </c>
      <c r="N117" s="15">
        <f>SUM(N115,N116)</f>
        <v>8.0873433077234132E-5</v>
      </c>
      <c r="O117" s="15">
        <f>SUM(O115,O116)</f>
        <v>0</v>
      </c>
      <c r="P117" s="15">
        <f>SUM(P115,P116)</f>
        <v>0</v>
      </c>
      <c r="Q117" s="11">
        <f>SUM(Q115,Q116)</f>
        <v>1.7630408410837038E-2</v>
      </c>
    </row>
    <row r="118" spans="2:17" ht="20.149999999999999" customHeight="1" thickBot="1" x14ac:dyDescent="0.4">
      <c r="B118" s="240"/>
      <c r="C118" s="241"/>
      <c r="D118" s="241"/>
      <c r="E118" s="241"/>
      <c r="F118" s="241"/>
      <c r="G118" s="241"/>
      <c r="H118" s="242"/>
      <c r="I118" s="5"/>
      <c r="J118" s="5"/>
      <c r="K118" s="240"/>
      <c r="L118" s="241"/>
      <c r="M118" s="241"/>
      <c r="N118" s="241"/>
      <c r="O118" s="241"/>
      <c r="P118" s="241"/>
      <c r="Q118" s="242"/>
    </row>
    <row r="119" spans="2:17" ht="20.149999999999999" customHeight="1" thickBot="1" x14ac:dyDescent="0.4">
      <c r="B119" s="243" t="s">
        <v>0</v>
      </c>
      <c r="C119" s="244"/>
      <c r="D119" s="16">
        <f>SUM(D113,D117)</f>
        <v>11448</v>
      </c>
      <c r="E119" s="16">
        <f>SUM(E113,E117)</f>
        <v>917</v>
      </c>
      <c r="F119" s="16">
        <f>SUM(F113,F117)</f>
        <v>0</v>
      </c>
      <c r="G119" s="16">
        <f>SUM(G113,G117)</f>
        <v>0</v>
      </c>
      <c r="H119" s="16">
        <f>SUM(H113,H117)</f>
        <v>12365</v>
      </c>
      <c r="I119" s="5"/>
      <c r="J119" s="5"/>
      <c r="K119" s="243" t="s">
        <v>0</v>
      </c>
      <c r="L119" s="244"/>
      <c r="M119" s="17">
        <f>SUM(M113,M117)</f>
        <v>0.92583906186817633</v>
      </c>
      <c r="N119" s="17">
        <f>SUM(N113,N117)</f>
        <v>7.41609381318237E-2</v>
      </c>
      <c r="O119" s="18">
        <f>SUM(O113,O117)</f>
        <v>0</v>
      </c>
      <c r="P119" s="18">
        <f>SUM(P113,P117)</f>
        <v>0</v>
      </c>
      <c r="Q119" s="18">
        <f>SUM(Q113,Q117)</f>
        <v>1</v>
      </c>
    </row>
    <row r="120" spans="2:17" ht="20.149999999999999" customHeight="1" x14ac:dyDescent="0.35">
      <c r="B120" s="232" t="s">
        <v>8</v>
      </c>
      <c r="C120" s="234" t="s">
        <v>15</v>
      </c>
      <c r="D120" s="235"/>
      <c r="E120" s="234" t="s">
        <v>16</v>
      </c>
      <c r="F120" s="235"/>
      <c r="G120" s="236" t="s">
        <v>1</v>
      </c>
      <c r="H120" s="237"/>
      <c r="I120" s="5"/>
      <c r="J120" s="5"/>
      <c r="K120" s="232" t="s">
        <v>8</v>
      </c>
      <c r="L120" s="234" t="s">
        <v>15</v>
      </c>
      <c r="M120" s="235"/>
      <c r="N120" s="234" t="s">
        <v>16</v>
      </c>
      <c r="O120" s="235"/>
      <c r="P120" s="236" t="s">
        <v>1</v>
      </c>
      <c r="Q120" s="237"/>
    </row>
    <row r="121" spans="2:17" ht="20.149999999999999" customHeight="1" x14ac:dyDescent="0.35">
      <c r="B121" s="233"/>
      <c r="C121" s="245">
        <f>SUM(H111,H115)</f>
        <v>10272</v>
      </c>
      <c r="D121" s="246"/>
      <c r="E121" s="245">
        <f>SUM(H112,H116)</f>
        <v>2093</v>
      </c>
      <c r="F121" s="246"/>
      <c r="G121" s="245">
        <f>SUM(H111,H112,H115,H116)</f>
        <v>12365</v>
      </c>
      <c r="H121" s="246"/>
      <c r="I121" s="5"/>
      <c r="J121" s="5"/>
      <c r="K121" s="233"/>
      <c r="L121" s="247">
        <f>SUM(Q111,Q115)</f>
        <v>0.83073190456934898</v>
      </c>
      <c r="M121" s="248"/>
      <c r="N121" s="247">
        <f>SUM(Q112,Q116)</f>
        <v>0.16926809543065102</v>
      </c>
      <c r="O121" s="248"/>
      <c r="P121" s="249">
        <f>SUM(Q111,Q112,Q115,Q116)</f>
        <v>1</v>
      </c>
      <c r="Q121" s="250"/>
    </row>
    <row r="122" spans="2:17" ht="20.149999999999999" customHeight="1" x14ac:dyDescent="0.35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2:17" ht="20.149999999999999" customHeight="1" x14ac:dyDescent="0.35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2:17" ht="20.149999999999999" customHeight="1" x14ac:dyDescent="0.35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2:17" ht="20.149999999999999" customHeight="1" x14ac:dyDescent="0.3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2:17" ht="20.149999999999999" customHeight="1" x14ac:dyDescent="0.3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2:17" ht="20.149999999999999" customHeight="1" x14ac:dyDescent="0.3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2:17" ht="20.149999999999999" customHeight="1" x14ac:dyDescent="0.35">
      <c r="B128" s="5">
        <v>7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2:17" ht="20.149999999999999" customHeight="1" x14ac:dyDescent="0.35">
      <c r="B129" s="263" t="s">
        <v>111</v>
      </c>
      <c r="C129" s="258"/>
      <c r="D129" s="258"/>
      <c r="E129" s="258"/>
      <c r="F129" s="258"/>
      <c r="G129" s="258"/>
      <c r="H129" s="259"/>
      <c r="I129" s="5"/>
      <c r="J129" s="5"/>
      <c r="K129" s="263" t="s">
        <v>112</v>
      </c>
      <c r="L129" s="258"/>
      <c r="M129" s="258"/>
      <c r="N129" s="258"/>
      <c r="O129" s="258"/>
      <c r="P129" s="258"/>
      <c r="Q129" s="259"/>
    </row>
    <row r="130" spans="2:17" ht="20.149999999999999" customHeight="1" x14ac:dyDescent="0.35">
      <c r="B130" s="260"/>
      <c r="C130" s="261"/>
      <c r="D130" s="261"/>
      <c r="E130" s="261"/>
      <c r="F130" s="261"/>
      <c r="G130" s="261"/>
      <c r="H130" s="262"/>
      <c r="I130" s="5"/>
      <c r="J130" s="5"/>
      <c r="K130" s="260"/>
      <c r="L130" s="261"/>
      <c r="M130" s="261"/>
      <c r="N130" s="261"/>
      <c r="O130" s="261"/>
      <c r="P130" s="261"/>
      <c r="Q130" s="262"/>
    </row>
    <row r="131" spans="2:17" ht="20.149999999999999" customHeight="1" x14ac:dyDescent="0.35">
      <c r="B131" s="3" t="s">
        <v>14</v>
      </c>
      <c r="C131" s="6" t="s">
        <v>13</v>
      </c>
      <c r="D131" s="42" t="s">
        <v>3</v>
      </c>
      <c r="E131" s="42" t="s">
        <v>4</v>
      </c>
      <c r="F131" s="42" t="s">
        <v>10</v>
      </c>
      <c r="G131" s="42" t="s">
        <v>5</v>
      </c>
      <c r="H131" s="6" t="s">
        <v>1</v>
      </c>
      <c r="I131" s="5"/>
      <c r="J131" s="5"/>
      <c r="K131" s="3" t="s">
        <v>14</v>
      </c>
      <c r="L131" s="6" t="s">
        <v>13</v>
      </c>
      <c r="M131" s="6" t="s">
        <v>3</v>
      </c>
      <c r="N131" s="6" t="s">
        <v>4</v>
      </c>
      <c r="O131" s="6" t="s">
        <v>10</v>
      </c>
      <c r="P131" s="6" t="s">
        <v>5</v>
      </c>
      <c r="Q131" s="6" t="s">
        <v>1</v>
      </c>
    </row>
    <row r="132" spans="2:17" ht="20.149999999999999" customHeight="1" x14ac:dyDescent="0.35">
      <c r="B132" s="264" t="s">
        <v>6</v>
      </c>
      <c r="C132" s="160" t="s">
        <v>9</v>
      </c>
      <c r="D132" s="166">
        <v>9968</v>
      </c>
      <c r="E132" s="167">
        <v>48</v>
      </c>
      <c r="F132" s="166">
        <v>0</v>
      </c>
      <c r="G132" s="167">
        <v>9</v>
      </c>
      <c r="H132" s="161">
        <f>SUM(D132,E132,F132,G132)</f>
        <v>10025</v>
      </c>
      <c r="I132" s="5"/>
      <c r="J132" s="5"/>
      <c r="K132" s="264" t="s">
        <v>6</v>
      </c>
      <c r="L132" s="2" t="s">
        <v>9</v>
      </c>
      <c r="M132" s="7">
        <f>D132/H140</f>
        <v>0.92398961809417868</v>
      </c>
      <c r="N132" s="7">
        <f>E132/H140</f>
        <v>4.4493882091212458E-3</v>
      </c>
      <c r="O132" s="7">
        <f>F132/H140</f>
        <v>0</v>
      </c>
      <c r="P132" s="7">
        <f>G132/H140</f>
        <v>8.3426028921023364E-4</v>
      </c>
      <c r="Q132" s="7">
        <f>SUM(M132,N132,O132,P132)</f>
        <v>0.92927326659251008</v>
      </c>
    </row>
    <row r="133" spans="2:17" ht="20.149999999999999" customHeight="1" x14ac:dyDescent="0.35">
      <c r="B133" s="265"/>
      <c r="C133" s="160" t="s">
        <v>2</v>
      </c>
      <c r="D133" s="166">
        <v>531</v>
      </c>
      <c r="E133" s="167">
        <v>25</v>
      </c>
      <c r="F133" s="166">
        <v>0</v>
      </c>
      <c r="G133" s="167">
        <v>0</v>
      </c>
      <c r="H133" s="161">
        <f>SUM(D133,E133,F133,G133)</f>
        <v>556</v>
      </c>
      <c r="I133" s="5"/>
      <c r="J133" s="5"/>
      <c r="K133" s="265"/>
      <c r="L133" s="2" t="s">
        <v>2</v>
      </c>
      <c r="M133" s="7">
        <f>D133/H140</f>
        <v>4.9221357063403783E-2</v>
      </c>
      <c r="N133" s="7">
        <f>E133/H140</f>
        <v>2.3173896922506487E-3</v>
      </c>
      <c r="O133" s="7">
        <f>F133/H140</f>
        <v>0</v>
      </c>
      <c r="P133" s="7">
        <f>G133/H140</f>
        <v>0</v>
      </c>
      <c r="Q133" s="7">
        <f>SUM(M133,N133,O133,P133)</f>
        <v>5.1538746755654431E-2</v>
      </c>
    </row>
    <row r="134" spans="2:17" ht="20.149999999999999" customHeight="1" x14ac:dyDescent="0.35">
      <c r="B134" s="238" t="s">
        <v>17</v>
      </c>
      <c r="C134" s="251"/>
      <c r="D134" s="162">
        <f>SUM(D132,D133)</f>
        <v>10499</v>
      </c>
      <c r="E134" s="162">
        <f>SUM(E132,E133)</f>
        <v>73</v>
      </c>
      <c r="F134" s="162">
        <f>SUM(F132,F133)</f>
        <v>0</v>
      </c>
      <c r="G134" s="162">
        <f>SUM(G132,G133)</f>
        <v>9</v>
      </c>
      <c r="H134" s="9">
        <f>SUM(H132,H133)</f>
        <v>10581</v>
      </c>
      <c r="I134" s="5"/>
      <c r="J134" s="5"/>
      <c r="K134" s="238" t="s">
        <v>17</v>
      </c>
      <c r="L134" s="251"/>
      <c r="M134" s="10">
        <f>SUM(M132,M133)</f>
        <v>0.97321097515758248</v>
      </c>
      <c r="N134" s="10">
        <f>SUM(N132,N133)</f>
        <v>6.7667779013718945E-3</v>
      </c>
      <c r="O134" s="10">
        <f>SUM(O132,O133)</f>
        <v>0</v>
      </c>
      <c r="P134" s="10">
        <f>SUM(P132,P133)</f>
        <v>8.3426028921023364E-4</v>
      </c>
      <c r="Q134" s="11">
        <f>SUM(Q132,Q133)</f>
        <v>0.98081201334816448</v>
      </c>
    </row>
    <row r="135" spans="2:17" ht="20.149999999999999" customHeight="1" x14ac:dyDescent="0.35">
      <c r="B135" s="252"/>
      <c r="C135" s="253"/>
      <c r="D135" s="266"/>
      <c r="E135" s="266"/>
      <c r="F135" s="266"/>
      <c r="G135" s="266"/>
      <c r="H135" s="254"/>
      <c r="I135" s="5"/>
      <c r="J135" s="5"/>
      <c r="K135" s="252"/>
      <c r="L135" s="253"/>
      <c r="M135" s="253"/>
      <c r="N135" s="253"/>
      <c r="O135" s="253"/>
      <c r="P135" s="253"/>
      <c r="Q135" s="254"/>
    </row>
    <row r="136" spans="2:17" ht="20.149999999999999" customHeight="1" x14ac:dyDescent="0.35">
      <c r="B136" s="255" t="s">
        <v>7</v>
      </c>
      <c r="C136" s="163" t="s">
        <v>11</v>
      </c>
      <c r="D136" s="168">
        <v>190</v>
      </c>
      <c r="E136" s="169">
        <v>0</v>
      </c>
      <c r="F136" s="168">
        <v>0</v>
      </c>
      <c r="G136" s="169">
        <v>0</v>
      </c>
      <c r="H136" s="164">
        <f>SUM(D136,E136,F136,G136)</f>
        <v>190</v>
      </c>
      <c r="I136" s="5"/>
      <c r="J136" s="5"/>
      <c r="K136" s="255" t="s">
        <v>7</v>
      </c>
      <c r="L136" s="12" t="s">
        <v>11</v>
      </c>
      <c r="M136" s="13">
        <f>D136/H140</f>
        <v>1.7612161661104932E-2</v>
      </c>
      <c r="N136" s="13">
        <f>E136/H140</f>
        <v>0</v>
      </c>
      <c r="O136" s="13">
        <f>F136/H140</f>
        <v>0</v>
      </c>
      <c r="P136" s="13">
        <f>G136/H140</f>
        <v>0</v>
      </c>
      <c r="Q136" s="13">
        <f>SUM(M136,N136,O136,P136)</f>
        <v>1.7612161661104932E-2</v>
      </c>
    </row>
    <row r="137" spans="2:17" ht="20.149999999999999" customHeight="1" x14ac:dyDescent="0.35">
      <c r="B137" s="256"/>
      <c r="C137" s="163" t="s">
        <v>12</v>
      </c>
      <c r="D137" s="168">
        <v>17</v>
      </c>
      <c r="E137" s="169">
        <v>0</v>
      </c>
      <c r="F137" s="168">
        <v>0</v>
      </c>
      <c r="G137" s="169">
        <v>0</v>
      </c>
      <c r="H137" s="164">
        <f>SUM(D137,E137,F137:G137)</f>
        <v>17</v>
      </c>
      <c r="I137" s="5"/>
      <c r="J137" s="5"/>
      <c r="K137" s="256"/>
      <c r="L137" s="12" t="s">
        <v>12</v>
      </c>
      <c r="M137" s="13">
        <f>D137/H140</f>
        <v>1.5758249907304412E-3</v>
      </c>
      <c r="N137" s="13">
        <f>E137/H140</f>
        <v>0</v>
      </c>
      <c r="O137" s="13">
        <f>F137/H140</f>
        <v>0</v>
      </c>
      <c r="P137" s="13">
        <f>G137/H140</f>
        <v>0</v>
      </c>
      <c r="Q137" s="13">
        <f>SUM(M137,N137,O137:P137)</f>
        <v>1.5758249907304412E-3</v>
      </c>
    </row>
    <row r="138" spans="2:17" ht="20.149999999999999" customHeight="1" x14ac:dyDescent="0.35">
      <c r="B138" s="238" t="s">
        <v>18</v>
      </c>
      <c r="C138" s="239"/>
      <c r="D138" s="165">
        <f>SUM(D136,D137)</f>
        <v>207</v>
      </c>
      <c r="E138" s="165">
        <f>SUM(E136,E137)</f>
        <v>0</v>
      </c>
      <c r="F138" s="165">
        <f>SUM(F136,F137)</f>
        <v>0</v>
      </c>
      <c r="G138" s="165">
        <f>SUM(G136,G137)</f>
        <v>0</v>
      </c>
      <c r="H138" s="9">
        <f>SUM(H136,H137)</f>
        <v>207</v>
      </c>
      <c r="I138" s="5"/>
      <c r="J138" s="5"/>
      <c r="K138" s="238" t="s">
        <v>18</v>
      </c>
      <c r="L138" s="239"/>
      <c r="M138" s="15">
        <f>SUM(M136,M137)</f>
        <v>1.9187986651835374E-2</v>
      </c>
      <c r="N138" s="15">
        <f>SUM(N136,N137)</f>
        <v>0</v>
      </c>
      <c r="O138" s="15">
        <f>SUM(O136,O137)</f>
        <v>0</v>
      </c>
      <c r="P138" s="15">
        <f>SUM(P136,P137)</f>
        <v>0</v>
      </c>
      <c r="Q138" s="11">
        <f>SUM(Q136,Q137)</f>
        <v>1.9187986651835374E-2</v>
      </c>
    </row>
    <row r="139" spans="2:17" ht="20.149999999999999" customHeight="1" thickBot="1" x14ac:dyDescent="0.4">
      <c r="B139" s="240"/>
      <c r="C139" s="241"/>
      <c r="D139" s="241"/>
      <c r="E139" s="241"/>
      <c r="F139" s="241"/>
      <c r="G139" s="241"/>
      <c r="H139" s="242"/>
      <c r="I139" s="5"/>
      <c r="J139" s="5"/>
      <c r="K139" s="240"/>
      <c r="L139" s="241"/>
      <c r="M139" s="241"/>
      <c r="N139" s="241"/>
      <c r="O139" s="241"/>
      <c r="P139" s="241"/>
      <c r="Q139" s="242"/>
    </row>
    <row r="140" spans="2:17" ht="20.149999999999999" customHeight="1" thickBot="1" x14ac:dyDescent="0.4">
      <c r="B140" s="243" t="s">
        <v>0</v>
      </c>
      <c r="C140" s="244"/>
      <c r="D140" s="16">
        <f>SUM(D134,D138)</f>
        <v>10706</v>
      </c>
      <c r="E140" s="16">
        <f>SUM(E134,E138)</f>
        <v>73</v>
      </c>
      <c r="F140" s="16">
        <f>SUM(F134,F138)</f>
        <v>0</v>
      </c>
      <c r="G140" s="16">
        <f>SUM(G134,G138)</f>
        <v>9</v>
      </c>
      <c r="H140" s="16">
        <f>SUM(H134,H138)</f>
        <v>10788</v>
      </c>
      <c r="I140" s="5"/>
      <c r="J140" s="5"/>
      <c r="K140" s="243" t="s">
        <v>0</v>
      </c>
      <c r="L140" s="244"/>
      <c r="M140" s="17">
        <f>SUM(M134,M138)</f>
        <v>0.99239896180941789</v>
      </c>
      <c r="N140" s="17">
        <f>SUM(N134,N138)</f>
        <v>6.7667779013718945E-3</v>
      </c>
      <c r="O140" s="18">
        <f>SUM(O134,O138)</f>
        <v>0</v>
      </c>
      <c r="P140" s="18">
        <f>SUM(P134,P138)</f>
        <v>8.3426028921023364E-4</v>
      </c>
      <c r="Q140" s="18">
        <f>SUM(Q134,Q138)</f>
        <v>0.99999999999999989</v>
      </c>
    </row>
    <row r="141" spans="2:17" ht="20.149999999999999" customHeight="1" x14ac:dyDescent="0.35">
      <c r="B141" s="232" t="s">
        <v>8</v>
      </c>
      <c r="C141" s="234" t="s">
        <v>15</v>
      </c>
      <c r="D141" s="235"/>
      <c r="E141" s="234" t="s">
        <v>16</v>
      </c>
      <c r="F141" s="235"/>
      <c r="G141" s="236" t="s">
        <v>1</v>
      </c>
      <c r="H141" s="237"/>
      <c r="I141" s="5"/>
      <c r="J141" s="5"/>
      <c r="K141" s="232" t="s">
        <v>8</v>
      </c>
      <c r="L141" s="234" t="s">
        <v>15</v>
      </c>
      <c r="M141" s="235"/>
      <c r="N141" s="234" t="s">
        <v>16</v>
      </c>
      <c r="O141" s="235"/>
      <c r="P141" s="236" t="s">
        <v>1</v>
      </c>
      <c r="Q141" s="237"/>
    </row>
    <row r="142" spans="2:17" ht="20.149999999999999" customHeight="1" x14ac:dyDescent="0.35">
      <c r="B142" s="233"/>
      <c r="C142" s="245">
        <f>SUM(H132,H136)</f>
        <v>10215</v>
      </c>
      <c r="D142" s="246"/>
      <c r="E142" s="245">
        <f>SUM(H133,H137)</f>
        <v>573</v>
      </c>
      <c r="F142" s="246"/>
      <c r="G142" s="245">
        <f>SUM(H132,H133,H136,H137)</f>
        <v>10788</v>
      </c>
      <c r="H142" s="246"/>
      <c r="I142" s="5"/>
      <c r="J142" s="5"/>
      <c r="K142" s="233"/>
      <c r="L142" s="247">
        <f>SUM(Q132,Q136)</f>
        <v>0.94688542825361499</v>
      </c>
      <c r="M142" s="248"/>
      <c r="N142" s="247">
        <f>SUM(Q133,Q137)</f>
        <v>5.311457174638487E-2</v>
      </c>
      <c r="O142" s="248"/>
      <c r="P142" s="249">
        <f>SUM(Q132,Q133,Q136,Q137)</f>
        <v>0.99999999999999978</v>
      </c>
      <c r="Q142" s="250"/>
    </row>
    <row r="143" spans="2:17" ht="20.149999999999999" customHeight="1" x14ac:dyDescent="0.3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2:17" ht="20.149999999999999" customHeight="1" x14ac:dyDescent="0.35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2:17" ht="20.149999999999999" customHeight="1" x14ac:dyDescent="0.3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2:17" ht="20.149999999999999" customHeight="1" x14ac:dyDescent="0.35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2:17" ht="20.149999999999999" customHeight="1" x14ac:dyDescent="0.35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2:17" ht="20.149999999999999" customHeight="1" x14ac:dyDescent="0.35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2:17" ht="20.149999999999999" customHeight="1" x14ac:dyDescent="0.35">
      <c r="B149" s="5">
        <v>8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2:17" ht="20.149999999999999" customHeight="1" x14ac:dyDescent="0.35">
      <c r="B150" s="263" t="s">
        <v>113</v>
      </c>
      <c r="C150" s="258"/>
      <c r="D150" s="258"/>
      <c r="E150" s="258"/>
      <c r="F150" s="258"/>
      <c r="G150" s="258"/>
      <c r="H150" s="259"/>
      <c r="I150" s="5"/>
      <c r="J150" s="5"/>
      <c r="K150" s="263" t="s">
        <v>114</v>
      </c>
      <c r="L150" s="258"/>
      <c r="M150" s="258"/>
      <c r="N150" s="258"/>
      <c r="O150" s="258"/>
      <c r="P150" s="258"/>
      <c r="Q150" s="259"/>
    </row>
    <row r="151" spans="2:17" ht="20.149999999999999" customHeight="1" x14ac:dyDescent="0.35">
      <c r="B151" s="260"/>
      <c r="C151" s="261"/>
      <c r="D151" s="261"/>
      <c r="E151" s="261"/>
      <c r="F151" s="261"/>
      <c r="G151" s="261"/>
      <c r="H151" s="262"/>
      <c r="I151" s="5"/>
      <c r="J151" s="5"/>
      <c r="K151" s="260"/>
      <c r="L151" s="261"/>
      <c r="M151" s="261"/>
      <c r="N151" s="261"/>
      <c r="O151" s="261"/>
      <c r="P151" s="261"/>
      <c r="Q151" s="262"/>
    </row>
    <row r="152" spans="2:17" ht="20.149999999999999" customHeight="1" thickBot="1" x14ac:dyDescent="0.4">
      <c r="B152" s="3" t="s">
        <v>14</v>
      </c>
      <c r="C152" s="6" t="s">
        <v>13</v>
      </c>
      <c r="D152" s="6" t="s">
        <v>3</v>
      </c>
      <c r="E152" s="6" t="s">
        <v>4</v>
      </c>
      <c r="F152" s="6" t="s">
        <v>10</v>
      </c>
      <c r="G152" s="6" t="s">
        <v>5</v>
      </c>
      <c r="H152" s="6" t="s">
        <v>1</v>
      </c>
      <c r="I152" s="5"/>
      <c r="J152" s="5"/>
      <c r="K152" s="3" t="s">
        <v>14</v>
      </c>
      <c r="L152" s="6" t="s">
        <v>13</v>
      </c>
      <c r="M152" s="6" t="s">
        <v>3</v>
      </c>
      <c r="N152" s="6" t="s">
        <v>4</v>
      </c>
      <c r="O152" s="6" t="s">
        <v>10</v>
      </c>
      <c r="P152" s="6" t="s">
        <v>5</v>
      </c>
      <c r="Q152" s="6" t="s">
        <v>1</v>
      </c>
    </row>
    <row r="153" spans="2:17" ht="20.149999999999999" customHeight="1" thickTop="1" thickBot="1" x14ac:dyDescent="0.4">
      <c r="B153" s="264" t="s">
        <v>6</v>
      </c>
      <c r="C153" s="2" t="s">
        <v>9</v>
      </c>
      <c r="D153" s="181">
        <v>4968</v>
      </c>
      <c r="E153" s="182">
        <v>261</v>
      </c>
      <c r="F153" s="181">
        <v>0</v>
      </c>
      <c r="G153" s="182">
        <v>0</v>
      </c>
      <c r="H153" s="2">
        <f>SUM(D153,E153,F153,G153)</f>
        <v>5229</v>
      </c>
      <c r="I153" s="5"/>
      <c r="J153" s="5"/>
      <c r="K153" s="264" t="s">
        <v>6</v>
      </c>
      <c r="L153" s="2" t="s">
        <v>9</v>
      </c>
      <c r="M153" s="7">
        <f>D153/H161</f>
        <v>0.77011316075027125</v>
      </c>
      <c r="N153" s="7">
        <f>E153/H161</f>
        <v>4.0458843590141062E-2</v>
      </c>
      <c r="O153" s="7">
        <f>F153/H161</f>
        <v>0</v>
      </c>
      <c r="P153" s="7">
        <f>G153/H161</f>
        <v>0</v>
      </c>
      <c r="Q153" s="7">
        <f>SUM(M153,N153,O153,P153)</f>
        <v>0.81057200434041232</v>
      </c>
    </row>
    <row r="154" spans="2:17" ht="20.149999999999999" customHeight="1" thickTop="1" thickBot="1" x14ac:dyDescent="0.4">
      <c r="B154" s="265"/>
      <c r="C154" s="2" t="s">
        <v>2</v>
      </c>
      <c r="D154" s="181">
        <v>1001</v>
      </c>
      <c r="E154" s="182">
        <v>110</v>
      </c>
      <c r="F154" s="181">
        <v>0</v>
      </c>
      <c r="G154" s="182">
        <v>0</v>
      </c>
      <c r="H154" s="2">
        <f>SUM(D154,E154,F154,G154)</f>
        <v>1111</v>
      </c>
      <c r="I154" s="5"/>
      <c r="J154" s="5"/>
      <c r="K154" s="265"/>
      <c r="L154" s="2" t="s">
        <v>2</v>
      </c>
      <c r="M154" s="7">
        <f>D154/H161</f>
        <v>0.15516974112540691</v>
      </c>
      <c r="N154" s="7">
        <f>E154/H161</f>
        <v>1.7051619903890869E-2</v>
      </c>
      <c r="O154" s="7">
        <f>F154/H161</f>
        <v>0</v>
      </c>
      <c r="P154" s="7">
        <f>G154/H161</f>
        <v>0</v>
      </c>
      <c r="Q154" s="7">
        <f>SUM(M154,N154,O154,P154)</f>
        <v>0.17222136102929778</v>
      </c>
    </row>
    <row r="155" spans="2:17" ht="20.149999999999999" customHeight="1" thickTop="1" x14ac:dyDescent="0.35">
      <c r="B155" s="238" t="s">
        <v>17</v>
      </c>
      <c r="C155" s="251"/>
      <c r="D155" s="8">
        <f>SUM(D153,D154)</f>
        <v>5969</v>
      </c>
      <c r="E155" s="8">
        <f>SUM(E153,E154)</f>
        <v>371</v>
      </c>
      <c r="F155" s="8">
        <f>SUM(F153,F154)</f>
        <v>0</v>
      </c>
      <c r="G155" s="8">
        <f>SUM(G153,G154)</f>
        <v>0</v>
      </c>
      <c r="H155" s="9">
        <f>SUM(H153,H154)</f>
        <v>6340</v>
      </c>
      <c r="I155" s="5"/>
      <c r="J155" s="5"/>
      <c r="K155" s="238" t="s">
        <v>17</v>
      </c>
      <c r="L155" s="251"/>
      <c r="M155" s="10">
        <f>SUM(M153,M154)</f>
        <v>0.92528290187567819</v>
      </c>
      <c r="N155" s="10">
        <f>SUM(N153,N154)</f>
        <v>5.7510463494031931E-2</v>
      </c>
      <c r="O155" s="10">
        <f>SUM(O153,O154)</f>
        <v>0</v>
      </c>
      <c r="P155" s="10">
        <f>SUM(P153,P154)</f>
        <v>0</v>
      </c>
      <c r="Q155" s="11">
        <f>SUM(Q153,Q154)</f>
        <v>0.98279336536971007</v>
      </c>
    </row>
    <row r="156" spans="2:17" ht="20.149999999999999" customHeight="1" thickBot="1" x14ac:dyDescent="0.4">
      <c r="B156" s="252"/>
      <c r="C156" s="253"/>
      <c r="D156" s="253"/>
      <c r="E156" s="253"/>
      <c r="F156" s="253"/>
      <c r="G156" s="253"/>
      <c r="H156" s="254"/>
      <c r="I156" s="5"/>
      <c r="J156" s="5"/>
      <c r="K156" s="252"/>
      <c r="L156" s="253"/>
      <c r="M156" s="253"/>
      <c r="N156" s="253"/>
      <c r="O156" s="253"/>
      <c r="P156" s="253"/>
      <c r="Q156" s="254"/>
    </row>
    <row r="157" spans="2:17" ht="20.149999999999999" customHeight="1" thickTop="1" thickBot="1" x14ac:dyDescent="0.4">
      <c r="B157" s="255" t="s">
        <v>7</v>
      </c>
      <c r="C157" s="12" t="s">
        <v>11</v>
      </c>
      <c r="D157" s="183">
        <v>100</v>
      </c>
      <c r="E157" s="83">
        <v>4</v>
      </c>
      <c r="F157" s="183">
        <v>0</v>
      </c>
      <c r="G157" s="83">
        <v>0</v>
      </c>
      <c r="H157" s="12">
        <f>SUM(D157,E157,F157,G157)</f>
        <v>104</v>
      </c>
      <c r="I157" s="5"/>
      <c r="J157" s="5"/>
      <c r="K157" s="255" t="s">
        <v>7</v>
      </c>
      <c r="L157" s="12" t="s">
        <v>11</v>
      </c>
      <c r="M157" s="13">
        <f>D157/H161</f>
        <v>1.5501472639900791E-2</v>
      </c>
      <c r="N157" s="13">
        <f>E157/H161</f>
        <v>6.2005890559603159E-4</v>
      </c>
      <c r="O157" s="13">
        <f>F157/H161</f>
        <v>0</v>
      </c>
      <c r="P157" s="13">
        <f>G157/H161</f>
        <v>0</v>
      </c>
      <c r="Q157" s="13">
        <f>SUM(M157,N157,O157,P157)</f>
        <v>1.6121531545496823E-2</v>
      </c>
    </row>
    <row r="158" spans="2:17" ht="20.149999999999999" customHeight="1" thickTop="1" thickBot="1" x14ac:dyDescent="0.4">
      <c r="B158" s="256"/>
      <c r="C158" s="12" t="s">
        <v>12</v>
      </c>
      <c r="D158" s="183">
        <v>6</v>
      </c>
      <c r="E158" s="83">
        <v>1</v>
      </c>
      <c r="F158" s="183">
        <v>0</v>
      </c>
      <c r="G158" s="83">
        <v>0</v>
      </c>
      <c r="H158" s="12">
        <f>SUM(D158,E158,F158:G158)</f>
        <v>7</v>
      </c>
      <c r="I158" s="5"/>
      <c r="J158" s="5"/>
      <c r="K158" s="256"/>
      <c r="L158" s="12" t="s">
        <v>12</v>
      </c>
      <c r="M158" s="13">
        <f>D158/H161</f>
        <v>9.3008835839404743E-4</v>
      </c>
      <c r="N158" s="13">
        <f>E158/H161</f>
        <v>1.550147263990079E-4</v>
      </c>
      <c r="O158" s="13">
        <f>F158/H161</f>
        <v>0</v>
      </c>
      <c r="P158" s="13">
        <f>G158/H161</f>
        <v>0</v>
      </c>
      <c r="Q158" s="13">
        <f>SUM(M158,N158,O158:P158)</f>
        <v>1.0851030847930554E-3</v>
      </c>
    </row>
    <row r="159" spans="2:17" ht="20.149999999999999" customHeight="1" thickTop="1" x14ac:dyDescent="0.35">
      <c r="B159" s="238" t="s">
        <v>18</v>
      </c>
      <c r="C159" s="239"/>
      <c r="D159" s="14">
        <f>SUM(D157,D158)</f>
        <v>106</v>
      </c>
      <c r="E159" s="14">
        <f>SUM(E157,E158)</f>
        <v>5</v>
      </c>
      <c r="F159" s="14">
        <f>SUM(F157,F158)</f>
        <v>0</v>
      </c>
      <c r="G159" s="14">
        <f>SUM(G157,G158)</f>
        <v>0</v>
      </c>
      <c r="H159" s="9">
        <f>SUM(H157,H158)</f>
        <v>111</v>
      </c>
      <c r="I159" s="5"/>
      <c r="J159" s="5"/>
      <c r="K159" s="238" t="s">
        <v>18</v>
      </c>
      <c r="L159" s="239"/>
      <c r="M159" s="15">
        <f>SUM(M157,M158)</f>
        <v>1.6431560998294837E-2</v>
      </c>
      <c r="N159" s="15">
        <f>SUM(N157,N158)</f>
        <v>7.7507363199503946E-4</v>
      </c>
      <c r="O159" s="15">
        <f>SUM(O157,O158)</f>
        <v>0</v>
      </c>
      <c r="P159" s="15">
        <f>SUM(P157,P158)</f>
        <v>0</v>
      </c>
      <c r="Q159" s="11">
        <f>SUM(Q157,Q158)</f>
        <v>1.7206634630289878E-2</v>
      </c>
    </row>
    <row r="160" spans="2:17" ht="20.149999999999999" customHeight="1" thickBot="1" x14ac:dyDescent="0.4">
      <c r="B160" s="240"/>
      <c r="C160" s="241"/>
      <c r="D160" s="241"/>
      <c r="E160" s="241"/>
      <c r="F160" s="241"/>
      <c r="G160" s="241"/>
      <c r="H160" s="242"/>
      <c r="I160" s="5"/>
      <c r="J160" s="5"/>
      <c r="K160" s="240"/>
      <c r="L160" s="241"/>
      <c r="M160" s="241"/>
      <c r="N160" s="241"/>
      <c r="O160" s="241"/>
      <c r="P160" s="241"/>
      <c r="Q160" s="242"/>
    </row>
    <row r="161" spans="2:17" ht="20.149999999999999" customHeight="1" thickBot="1" x14ac:dyDescent="0.4">
      <c r="B161" s="243" t="s">
        <v>0</v>
      </c>
      <c r="C161" s="244"/>
      <c r="D161" s="16">
        <f>SUM(D155,D159)</f>
        <v>6075</v>
      </c>
      <c r="E161" s="16">
        <f>SUM(E155,E159)</f>
        <v>376</v>
      </c>
      <c r="F161" s="16">
        <f>SUM(F155,F159)</f>
        <v>0</v>
      </c>
      <c r="G161" s="16">
        <f>SUM(G155,G159)</f>
        <v>0</v>
      </c>
      <c r="H161" s="16">
        <f>SUM(H155,H159)</f>
        <v>6451</v>
      </c>
      <c r="I161" s="5"/>
      <c r="J161" s="5"/>
      <c r="K161" s="243" t="s">
        <v>0</v>
      </c>
      <c r="L161" s="244"/>
      <c r="M161" s="17">
        <f>SUM(M155,M159)</f>
        <v>0.94171446287397298</v>
      </c>
      <c r="N161" s="17">
        <f>SUM(N155,N159)</f>
        <v>5.8285537126026972E-2</v>
      </c>
      <c r="O161" s="18">
        <f>SUM(O155,O159)</f>
        <v>0</v>
      </c>
      <c r="P161" s="18">
        <f>SUM(P155,P159)</f>
        <v>0</v>
      </c>
      <c r="Q161" s="18">
        <f>SUM(Q155,Q159)</f>
        <v>1</v>
      </c>
    </row>
    <row r="162" spans="2:17" ht="20.149999999999999" customHeight="1" x14ac:dyDescent="0.35">
      <c r="B162" s="232" t="s">
        <v>8</v>
      </c>
      <c r="C162" s="234" t="s">
        <v>15</v>
      </c>
      <c r="D162" s="235"/>
      <c r="E162" s="234" t="s">
        <v>16</v>
      </c>
      <c r="F162" s="235"/>
      <c r="G162" s="236" t="s">
        <v>1</v>
      </c>
      <c r="H162" s="237"/>
      <c r="I162" s="5"/>
      <c r="J162" s="5"/>
      <c r="K162" s="232" t="s">
        <v>8</v>
      </c>
      <c r="L162" s="234" t="s">
        <v>15</v>
      </c>
      <c r="M162" s="235"/>
      <c r="N162" s="234" t="s">
        <v>16</v>
      </c>
      <c r="O162" s="235"/>
      <c r="P162" s="236" t="s">
        <v>1</v>
      </c>
      <c r="Q162" s="237"/>
    </row>
    <row r="163" spans="2:17" ht="20.149999999999999" customHeight="1" x14ac:dyDescent="0.35">
      <c r="B163" s="233"/>
      <c r="C163" s="245">
        <f>SUM(H153,H157)</f>
        <v>5333</v>
      </c>
      <c r="D163" s="246"/>
      <c r="E163" s="245">
        <f>SUM(H154,H158)</f>
        <v>1118</v>
      </c>
      <c r="F163" s="246"/>
      <c r="G163" s="245">
        <f>SUM(H153,H154,H157,H158)</f>
        <v>6451</v>
      </c>
      <c r="H163" s="246"/>
      <c r="I163" s="5"/>
      <c r="J163" s="5"/>
      <c r="K163" s="233"/>
      <c r="L163" s="247">
        <f>SUM(Q153,Q157)</f>
        <v>0.8266935358859091</v>
      </c>
      <c r="M163" s="248"/>
      <c r="N163" s="247">
        <f>SUM(Q154,Q158)</f>
        <v>0.17330646411409084</v>
      </c>
      <c r="O163" s="248"/>
      <c r="P163" s="249">
        <f>SUM(Q153,Q154,Q157,Q158)</f>
        <v>0.99999999999999989</v>
      </c>
      <c r="Q163" s="250"/>
    </row>
    <row r="164" spans="2:17" ht="20.149999999999999" customHeight="1" x14ac:dyDescent="0.35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2:17" ht="20.149999999999999" customHeight="1" x14ac:dyDescent="0.3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2:17" ht="20.149999999999999" customHeight="1" x14ac:dyDescent="0.35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2:17" ht="20.149999999999999" customHeight="1" x14ac:dyDescent="0.35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2:17" ht="20.149999999999999" customHeight="1" x14ac:dyDescent="0.35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2:17" ht="20.149999999999999" customHeight="1" x14ac:dyDescent="0.35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2:17" ht="20.149999999999999" customHeight="1" x14ac:dyDescent="0.35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2:17" ht="20.149999999999999" customHeight="1" x14ac:dyDescent="0.35">
      <c r="B171" s="5">
        <v>9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2:17" ht="20.149999999999999" customHeight="1" x14ac:dyDescent="0.35">
      <c r="B172" s="263" t="s">
        <v>115</v>
      </c>
      <c r="C172" s="258"/>
      <c r="D172" s="258"/>
      <c r="E172" s="258"/>
      <c r="F172" s="258"/>
      <c r="G172" s="258"/>
      <c r="H172" s="259"/>
      <c r="I172" s="5"/>
      <c r="J172" s="5"/>
      <c r="K172" s="263" t="s">
        <v>116</v>
      </c>
      <c r="L172" s="258"/>
      <c r="M172" s="258"/>
      <c r="N172" s="258"/>
      <c r="O172" s="258"/>
      <c r="P172" s="258"/>
      <c r="Q172" s="259"/>
    </row>
    <row r="173" spans="2:17" ht="20.149999999999999" customHeight="1" x14ac:dyDescent="0.35">
      <c r="B173" s="260"/>
      <c r="C173" s="261"/>
      <c r="D173" s="261"/>
      <c r="E173" s="261"/>
      <c r="F173" s="261"/>
      <c r="G173" s="261"/>
      <c r="H173" s="262"/>
      <c r="I173" s="5"/>
      <c r="J173" s="5"/>
      <c r="K173" s="260"/>
      <c r="L173" s="261"/>
      <c r="M173" s="261"/>
      <c r="N173" s="261"/>
      <c r="O173" s="261"/>
      <c r="P173" s="261"/>
      <c r="Q173" s="262"/>
    </row>
    <row r="174" spans="2:17" ht="20.149999999999999" customHeight="1" x14ac:dyDescent="0.35">
      <c r="B174" s="3" t="s">
        <v>14</v>
      </c>
      <c r="C174" s="6" t="s">
        <v>13</v>
      </c>
      <c r="D174" s="42" t="s">
        <v>3</v>
      </c>
      <c r="E174" s="42" t="s">
        <v>4</v>
      </c>
      <c r="F174" s="42" t="s">
        <v>10</v>
      </c>
      <c r="G174" s="42" t="s">
        <v>5</v>
      </c>
      <c r="H174" s="6" t="s">
        <v>1</v>
      </c>
      <c r="I174" s="5"/>
      <c r="J174" s="5"/>
      <c r="K174" s="3" t="s">
        <v>14</v>
      </c>
      <c r="L174" s="6" t="s">
        <v>13</v>
      </c>
      <c r="M174" s="6" t="s">
        <v>3</v>
      </c>
      <c r="N174" s="6" t="s">
        <v>4</v>
      </c>
      <c r="O174" s="6" t="s">
        <v>10</v>
      </c>
      <c r="P174" s="6" t="s">
        <v>5</v>
      </c>
      <c r="Q174" s="6" t="s">
        <v>1</v>
      </c>
    </row>
    <row r="175" spans="2:17" ht="20.149999999999999" customHeight="1" x14ac:dyDescent="0.35">
      <c r="B175" s="264" t="s">
        <v>6</v>
      </c>
      <c r="C175" s="160" t="s">
        <v>9</v>
      </c>
      <c r="D175" s="166">
        <v>13537</v>
      </c>
      <c r="E175" s="167">
        <v>7014</v>
      </c>
      <c r="F175" s="166">
        <v>0</v>
      </c>
      <c r="G175" s="167">
        <v>0</v>
      </c>
      <c r="H175" s="161">
        <f>SUM(D175,E175,F175,G175)</f>
        <v>20551</v>
      </c>
      <c r="I175" s="5"/>
      <c r="J175" s="5"/>
      <c r="K175" s="264" t="s">
        <v>6</v>
      </c>
      <c r="L175" s="2" t="s">
        <v>9</v>
      </c>
      <c r="M175" s="7">
        <f>D175/H183</f>
        <v>0.52587211560873282</v>
      </c>
      <c r="N175" s="7">
        <f>E175/H183</f>
        <v>0.27247300132079871</v>
      </c>
      <c r="O175" s="7">
        <f>F175/H183</f>
        <v>0</v>
      </c>
      <c r="P175" s="7">
        <f>G175/H183</f>
        <v>0</v>
      </c>
      <c r="Q175" s="7">
        <f>SUM(M175,N175,O175,P175)</f>
        <v>0.79834511692953147</v>
      </c>
    </row>
    <row r="176" spans="2:17" ht="20.149999999999999" customHeight="1" x14ac:dyDescent="0.35">
      <c r="B176" s="265"/>
      <c r="C176" s="160" t="s">
        <v>2</v>
      </c>
      <c r="D176" s="194">
        <v>2026</v>
      </c>
      <c r="E176" s="194">
        <v>2763</v>
      </c>
      <c r="F176" s="194">
        <v>0</v>
      </c>
      <c r="G176" s="194">
        <v>0</v>
      </c>
      <c r="H176" s="161">
        <f>SUM(D176,E176,F176,G176)</f>
        <v>4789</v>
      </c>
      <c r="I176" s="5"/>
      <c r="J176" s="5"/>
      <c r="K176" s="265"/>
      <c r="L176" s="2" t="s">
        <v>2</v>
      </c>
      <c r="M176" s="7">
        <f>D176/H183</f>
        <v>7.8704063398337354E-2</v>
      </c>
      <c r="N176" s="7">
        <f>E176/H183</f>
        <v>0.10733431745785098</v>
      </c>
      <c r="O176" s="7">
        <f>F176/H183</f>
        <v>0</v>
      </c>
      <c r="P176" s="7">
        <f>G176/H183</f>
        <v>0</v>
      </c>
      <c r="Q176" s="7">
        <f>SUM(M176,N176,O176,P176)</f>
        <v>0.18603838085618835</v>
      </c>
    </row>
    <row r="177" spans="2:17" ht="20.149999999999999" customHeight="1" x14ac:dyDescent="0.35">
      <c r="B177" s="238" t="s">
        <v>17</v>
      </c>
      <c r="C177" s="251"/>
      <c r="D177" s="162">
        <f>SUM(D175,D176)</f>
        <v>15563</v>
      </c>
      <c r="E177" s="162">
        <f>SUM(E175,E176)</f>
        <v>9777</v>
      </c>
      <c r="F177" s="162">
        <f>SUM(F175,F176)</f>
        <v>0</v>
      </c>
      <c r="G177" s="162">
        <f>SUM(G175,G176)</f>
        <v>0</v>
      </c>
      <c r="H177" s="9">
        <f>SUM(H175,H176)</f>
        <v>25340</v>
      </c>
      <c r="I177" s="5"/>
      <c r="J177" s="5"/>
      <c r="K177" s="238" t="s">
        <v>17</v>
      </c>
      <c r="L177" s="251"/>
      <c r="M177" s="10">
        <f>SUM(M175,M176)</f>
        <v>0.60457617900707017</v>
      </c>
      <c r="N177" s="10">
        <f>SUM(N175,N176)</f>
        <v>0.37980731877864971</v>
      </c>
      <c r="O177" s="10">
        <f>SUM(O175,O176)</f>
        <v>0</v>
      </c>
      <c r="P177" s="10">
        <f>SUM(P175,P176)</f>
        <v>0</v>
      </c>
      <c r="Q177" s="11">
        <f>SUM(Q175,Q176)</f>
        <v>0.98438349778571976</v>
      </c>
    </row>
    <row r="178" spans="2:17" ht="20.149999999999999" customHeight="1" x14ac:dyDescent="0.35">
      <c r="B178" s="252"/>
      <c r="C178" s="253"/>
      <c r="D178" s="266"/>
      <c r="E178" s="266"/>
      <c r="F178" s="266"/>
      <c r="G178" s="266"/>
      <c r="H178" s="254"/>
      <c r="I178" s="5"/>
      <c r="J178" s="5"/>
      <c r="K178" s="252"/>
      <c r="L178" s="253"/>
      <c r="M178" s="253"/>
      <c r="N178" s="253"/>
      <c r="O178" s="253"/>
      <c r="P178" s="253"/>
      <c r="Q178" s="254"/>
    </row>
    <row r="179" spans="2:17" ht="20.149999999999999" customHeight="1" x14ac:dyDescent="0.35">
      <c r="B179" s="255" t="s">
        <v>7</v>
      </c>
      <c r="C179" s="163" t="s">
        <v>11</v>
      </c>
      <c r="D179" s="168">
        <v>331</v>
      </c>
      <c r="E179" s="169">
        <v>37</v>
      </c>
      <c r="F179" s="168">
        <v>0</v>
      </c>
      <c r="G179" s="169">
        <v>0</v>
      </c>
      <c r="H179" s="164">
        <f>SUM(D179,E179,F179,G179)</f>
        <v>368</v>
      </c>
      <c r="I179" s="5"/>
      <c r="J179" s="5"/>
      <c r="K179" s="255" t="s">
        <v>7</v>
      </c>
      <c r="L179" s="12" t="s">
        <v>11</v>
      </c>
      <c r="M179" s="13">
        <f>D179/H183</f>
        <v>1.285836376349934E-2</v>
      </c>
      <c r="N179" s="13">
        <f>E179/H183</f>
        <v>1.4373397560407117E-3</v>
      </c>
      <c r="O179" s="13">
        <f>F179/H183</f>
        <v>0</v>
      </c>
      <c r="P179" s="13">
        <f>G179/H183</f>
        <v>0</v>
      </c>
      <c r="Q179" s="13">
        <f>SUM(M179,N179,O179,P179)</f>
        <v>1.4295703519540051E-2</v>
      </c>
    </row>
    <row r="180" spans="2:17" ht="20.149999999999999" customHeight="1" x14ac:dyDescent="0.35">
      <c r="B180" s="256"/>
      <c r="C180" s="163" t="s">
        <v>12</v>
      </c>
      <c r="D180" s="82">
        <v>34</v>
      </c>
      <c r="E180" s="82">
        <v>0</v>
      </c>
      <c r="F180" s="82">
        <v>0</v>
      </c>
      <c r="G180" s="82">
        <v>0</v>
      </c>
      <c r="H180" s="164">
        <f>SUM(D180,E180,F180:G180)</f>
        <v>34</v>
      </c>
      <c r="I180" s="5"/>
      <c r="J180" s="5"/>
      <c r="K180" s="256"/>
      <c r="L180" s="12" t="s">
        <v>12</v>
      </c>
      <c r="M180" s="13">
        <f>D180/H183</f>
        <v>1.3207986947401135E-3</v>
      </c>
      <c r="N180" s="13">
        <f>E180/H183</f>
        <v>0</v>
      </c>
      <c r="O180" s="13">
        <f>F180/H183</f>
        <v>0</v>
      </c>
      <c r="P180" s="13">
        <f>G180/H183</f>
        <v>0</v>
      </c>
      <c r="Q180" s="13">
        <f>SUM(M180,N180,O180:P180)</f>
        <v>1.3207986947401135E-3</v>
      </c>
    </row>
    <row r="181" spans="2:17" ht="20.149999999999999" customHeight="1" x14ac:dyDescent="0.35">
      <c r="B181" s="238" t="s">
        <v>18</v>
      </c>
      <c r="C181" s="239"/>
      <c r="D181" s="186">
        <f>SUM(D179:D180)</f>
        <v>365</v>
      </c>
      <c r="E181" s="165">
        <f>SUM(E179,E180)</f>
        <v>37</v>
      </c>
      <c r="F181" s="165">
        <f>SUM(F179,F180)</f>
        <v>0</v>
      </c>
      <c r="G181" s="165">
        <f>SUM(G179,G180)</f>
        <v>0</v>
      </c>
      <c r="H181" s="9">
        <f>SUM(H179,H180)</f>
        <v>402</v>
      </c>
      <c r="I181" s="5"/>
      <c r="J181" s="5"/>
      <c r="K181" s="238" t="s">
        <v>18</v>
      </c>
      <c r="L181" s="239"/>
      <c r="M181" s="15">
        <f>SUM(M179,M180)</f>
        <v>1.4179162458239454E-2</v>
      </c>
      <c r="N181" s="15">
        <f>SUM(N179,N180)</f>
        <v>1.4373397560407117E-3</v>
      </c>
      <c r="O181" s="15">
        <f>SUM(O179,O180)</f>
        <v>0</v>
      </c>
      <c r="P181" s="15">
        <f>SUM(P179,P180)</f>
        <v>0</v>
      </c>
      <c r="Q181" s="11">
        <f>SUM(Q179,Q180)</f>
        <v>1.5616502214280166E-2</v>
      </c>
    </row>
    <row r="182" spans="2:17" ht="20.149999999999999" customHeight="1" thickBot="1" x14ac:dyDescent="0.4">
      <c r="B182" s="240"/>
      <c r="C182" s="241"/>
      <c r="D182" s="241"/>
      <c r="E182" s="241"/>
      <c r="F182" s="241"/>
      <c r="G182" s="241"/>
      <c r="H182" s="242"/>
      <c r="I182" s="5"/>
      <c r="J182" s="5"/>
      <c r="K182" s="240"/>
      <c r="L182" s="241"/>
      <c r="M182" s="241"/>
      <c r="N182" s="241"/>
      <c r="O182" s="241"/>
      <c r="P182" s="241"/>
      <c r="Q182" s="242"/>
    </row>
    <row r="183" spans="2:17" ht="20.149999999999999" customHeight="1" thickBot="1" x14ac:dyDescent="0.4">
      <c r="B183" s="243" t="s">
        <v>0</v>
      </c>
      <c r="C183" s="244"/>
      <c r="D183" s="16">
        <f>SUM(D177,D181)</f>
        <v>15928</v>
      </c>
      <c r="E183" s="16">
        <f>SUM(E177,E181)</f>
        <v>9814</v>
      </c>
      <c r="F183" s="16">
        <f>SUM(F177,F181)</f>
        <v>0</v>
      </c>
      <c r="G183" s="16">
        <f>SUM(G177,G181)</f>
        <v>0</v>
      </c>
      <c r="H183" s="16">
        <f>SUM(H177,H181)</f>
        <v>25742</v>
      </c>
      <c r="I183" s="5"/>
      <c r="J183" s="5"/>
      <c r="K183" s="243" t="s">
        <v>0</v>
      </c>
      <c r="L183" s="244"/>
      <c r="M183" s="17">
        <f>SUM(M177,M181)</f>
        <v>0.61875534146530964</v>
      </c>
      <c r="N183" s="17">
        <f>SUM(N177,N181)</f>
        <v>0.38124465853469042</v>
      </c>
      <c r="O183" s="18">
        <f>SUM(O177,O181)</f>
        <v>0</v>
      </c>
      <c r="P183" s="18">
        <f>SUM(P177,P181)</f>
        <v>0</v>
      </c>
      <c r="Q183" s="18">
        <f>SUM(Q177,Q181)</f>
        <v>0.99999999999999989</v>
      </c>
    </row>
    <row r="184" spans="2:17" ht="20.149999999999999" customHeight="1" x14ac:dyDescent="0.35">
      <c r="B184" s="232" t="s">
        <v>8</v>
      </c>
      <c r="C184" s="234" t="s">
        <v>15</v>
      </c>
      <c r="D184" s="235"/>
      <c r="E184" s="234" t="s">
        <v>16</v>
      </c>
      <c r="F184" s="235"/>
      <c r="G184" s="236" t="s">
        <v>1</v>
      </c>
      <c r="H184" s="237"/>
      <c r="I184" s="5"/>
      <c r="J184" s="5"/>
      <c r="K184" s="232" t="s">
        <v>8</v>
      </c>
      <c r="L184" s="234" t="s">
        <v>15</v>
      </c>
      <c r="M184" s="235"/>
      <c r="N184" s="234" t="s">
        <v>16</v>
      </c>
      <c r="O184" s="235"/>
      <c r="P184" s="236" t="s">
        <v>1</v>
      </c>
      <c r="Q184" s="237"/>
    </row>
    <row r="185" spans="2:17" ht="20.149999999999999" customHeight="1" x14ac:dyDescent="0.35">
      <c r="B185" s="233"/>
      <c r="C185" s="245">
        <f>SUM(H175,H179)</f>
        <v>20919</v>
      </c>
      <c r="D185" s="246"/>
      <c r="E185" s="245">
        <f>SUM(H176,H180)</f>
        <v>4823</v>
      </c>
      <c r="F185" s="246"/>
      <c r="G185" s="245">
        <f>SUM(H175,H176,H179,H180)</f>
        <v>25742</v>
      </c>
      <c r="H185" s="246"/>
      <c r="I185" s="5"/>
      <c r="J185" s="5"/>
      <c r="K185" s="233"/>
      <c r="L185" s="247">
        <f>SUM(Q175,Q179)</f>
        <v>0.81264082044907149</v>
      </c>
      <c r="M185" s="248"/>
      <c r="N185" s="247">
        <f>SUM(Q176,Q180)</f>
        <v>0.18735917955092846</v>
      </c>
      <c r="O185" s="248"/>
      <c r="P185" s="249">
        <f>SUM(Q175,Q176,Q179,Q180)</f>
        <v>0.99999999999999989</v>
      </c>
      <c r="Q185" s="250"/>
    </row>
    <row r="186" spans="2:17" ht="20.149999999999999" customHeight="1" x14ac:dyDescent="0.35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2:17" ht="20.149999999999999" customHeight="1" x14ac:dyDescent="0.35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2:17" ht="20.149999999999999" customHeight="1" x14ac:dyDescent="0.35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2:17" ht="20.149999999999999" customHeight="1" x14ac:dyDescent="0.35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2:17" ht="20.149999999999999" customHeight="1" x14ac:dyDescent="0.35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2:17" ht="20.149999999999999" customHeight="1" x14ac:dyDescent="0.35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2:17" ht="20.149999999999999" customHeight="1" x14ac:dyDescent="0.35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2:17" ht="20.149999999999999" customHeight="1" x14ac:dyDescent="0.35">
      <c r="B193" s="5">
        <v>10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2:17" ht="20.149999999999999" customHeight="1" x14ac:dyDescent="0.35">
      <c r="B194" s="263" t="s">
        <v>117</v>
      </c>
      <c r="C194" s="258"/>
      <c r="D194" s="258"/>
      <c r="E194" s="258"/>
      <c r="F194" s="258"/>
      <c r="G194" s="258"/>
      <c r="H194" s="259"/>
      <c r="I194" s="5"/>
      <c r="J194" s="5"/>
      <c r="K194" s="263" t="s">
        <v>118</v>
      </c>
      <c r="L194" s="258"/>
      <c r="M194" s="258"/>
      <c r="N194" s="258"/>
      <c r="O194" s="258"/>
      <c r="P194" s="258"/>
      <c r="Q194" s="259"/>
    </row>
    <row r="195" spans="2:17" ht="20.149999999999999" customHeight="1" x14ac:dyDescent="0.35">
      <c r="B195" s="260"/>
      <c r="C195" s="261"/>
      <c r="D195" s="261"/>
      <c r="E195" s="261"/>
      <c r="F195" s="261"/>
      <c r="G195" s="261"/>
      <c r="H195" s="262"/>
      <c r="I195" s="5"/>
      <c r="J195" s="5"/>
      <c r="K195" s="260"/>
      <c r="L195" s="261"/>
      <c r="M195" s="261"/>
      <c r="N195" s="261"/>
      <c r="O195" s="261"/>
      <c r="P195" s="261"/>
      <c r="Q195" s="262"/>
    </row>
    <row r="196" spans="2:17" ht="20.149999999999999" customHeight="1" x14ac:dyDescent="0.35">
      <c r="B196" s="3" t="s">
        <v>14</v>
      </c>
      <c r="C196" s="6" t="s">
        <v>13</v>
      </c>
      <c r="D196" s="42" t="s">
        <v>3</v>
      </c>
      <c r="E196" s="42" t="s">
        <v>4</v>
      </c>
      <c r="F196" s="42" t="s">
        <v>10</v>
      </c>
      <c r="G196" s="42" t="s">
        <v>5</v>
      </c>
      <c r="H196" s="6" t="s">
        <v>1</v>
      </c>
      <c r="I196" s="5"/>
      <c r="J196" s="5"/>
      <c r="K196" s="3" t="s">
        <v>14</v>
      </c>
      <c r="L196" s="6" t="s">
        <v>13</v>
      </c>
      <c r="M196" s="6" t="s">
        <v>3</v>
      </c>
      <c r="N196" s="6" t="s">
        <v>4</v>
      </c>
      <c r="O196" s="6" t="s">
        <v>10</v>
      </c>
      <c r="P196" s="6" t="s">
        <v>5</v>
      </c>
      <c r="Q196" s="6" t="s">
        <v>1</v>
      </c>
    </row>
    <row r="197" spans="2:17" ht="20.149999999999999" customHeight="1" x14ac:dyDescent="0.35">
      <c r="B197" s="264" t="s">
        <v>6</v>
      </c>
      <c r="C197" s="160" t="s">
        <v>9</v>
      </c>
      <c r="D197" s="166">
        <f>(1352+865+1726+1639+4311+1065+2850)</f>
        <v>13808</v>
      </c>
      <c r="E197" s="167">
        <f>(357+902+1429+310)</f>
        <v>2998</v>
      </c>
      <c r="F197" s="166">
        <v>0</v>
      </c>
      <c r="G197" s="167">
        <v>0</v>
      </c>
      <c r="H197" s="161">
        <f>SUM(D197,E197,F197,G197)</f>
        <v>16806</v>
      </c>
      <c r="I197" s="5"/>
      <c r="J197" s="5"/>
      <c r="K197" s="264" t="s">
        <v>6</v>
      </c>
      <c r="L197" s="2" t="s">
        <v>9</v>
      </c>
      <c r="M197" s="7">
        <f>D197/H205</f>
        <v>0.70930292289515595</v>
      </c>
      <c r="N197" s="7">
        <f>E197/H205</f>
        <v>0.15400421225663943</v>
      </c>
      <c r="O197" s="7">
        <f>F197/H205</f>
        <v>0</v>
      </c>
      <c r="P197" s="7">
        <f>G197/H205</f>
        <v>0</v>
      </c>
      <c r="Q197" s="7">
        <f>SUM(M197,N197,O197,P197)</f>
        <v>0.86330713515179536</v>
      </c>
    </row>
    <row r="198" spans="2:17" ht="20.149999999999999" customHeight="1" x14ac:dyDescent="0.35">
      <c r="B198" s="265"/>
      <c r="C198" s="160" t="s">
        <v>2</v>
      </c>
      <c r="D198" s="166">
        <f>(203+122+184+46+19+57+367)</f>
        <v>998</v>
      </c>
      <c r="E198" s="167">
        <f>(161+264+282+46)</f>
        <v>753</v>
      </c>
      <c r="F198" s="166">
        <v>0</v>
      </c>
      <c r="G198" s="167">
        <v>0</v>
      </c>
      <c r="H198" s="161">
        <f>SUM(D198,E198,F198,G198)</f>
        <v>1751</v>
      </c>
      <c r="I198" s="5"/>
      <c r="J198" s="5"/>
      <c r="K198" s="265"/>
      <c r="L198" s="2" t="s">
        <v>2</v>
      </c>
      <c r="M198" s="7">
        <f>D198/H205</f>
        <v>5.1266245441002722E-2</v>
      </c>
      <c r="N198" s="7">
        <f>E198/H205</f>
        <v>3.8680844506087227E-2</v>
      </c>
      <c r="O198" s="7">
        <f>F198/H205</f>
        <v>0</v>
      </c>
      <c r="P198" s="7">
        <f>G198/H205</f>
        <v>0</v>
      </c>
      <c r="Q198" s="7">
        <f>SUM(M198,N198,O198,P198)</f>
        <v>8.9947089947089942E-2</v>
      </c>
    </row>
    <row r="199" spans="2:17" ht="20.149999999999999" customHeight="1" x14ac:dyDescent="0.35">
      <c r="B199" s="238" t="s">
        <v>17</v>
      </c>
      <c r="C199" s="251"/>
      <c r="D199" s="162">
        <f>SUM(D197,D198)</f>
        <v>14806</v>
      </c>
      <c r="E199" s="162">
        <f>SUM(E197,E198)</f>
        <v>3751</v>
      </c>
      <c r="F199" s="162">
        <f>SUM(F197,F198)</f>
        <v>0</v>
      </c>
      <c r="G199" s="162">
        <f>SUM(G197,G198)</f>
        <v>0</v>
      </c>
      <c r="H199" s="9">
        <f>SUM(H197,H198)</f>
        <v>18557</v>
      </c>
      <c r="I199" s="5"/>
      <c r="J199" s="5"/>
      <c r="K199" s="238" t="s">
        <v>17</v>
      </c>
      <c r="L199" s="251"/>
      <c r="M199" s="10">
        <f>SUM(M197,M198)</f>
        <v>0.76056916833615862</v>
      </c>
      <c r="N199" s="10">
        <f>SUM(N197,N198)</f>
        <v>0.19268505676272665</v>
      </c>
      <c r="O199" s="10">
        <f>SUM(O197,O198)</f>
        <v>0</v>
      </c>
      <c r="P199" s="10">
        <f>SUM(P197,P198)</f>
        <v>0</v>
      </c>
      <c r="Q199" s="11">
        <f>SUM(Q197,Q198)</f>
        <v>0.95325422509888535</v>
      </c>
    </row>
    <row r="200" spans="2:17" ht="20.149999999999999" customHeight="1" x14ac:dyDescent="0.35">
      <c r="B200" s="252"/>
      <c r="C200" s="253"/>
      <c r="D200" s="266"/>
      <c r="E200" s="266"/>
      <c r="F200" s="266"/>
      <c r="G200" s="266"/>
      <c r="H200" s="254"/>
      <c r="I200" s="5"/>
      <c r="J200" s="5"/>
      <c r="K200" s="252"/>
      <c r="L200" s="253"/>
      <c r="M200" s="253"/>
      <c r="N200" s="253"/>
      <c r="O200" s="253"/>
      <c r="P200" s="253"/>
      <c r="Q200" s="254"/>
    </row>
    <row r="201" spans="2:17" ht="20.149999999999999" customHeight="1" x14ac:dyDescent="0.35">
      <c r="B201" s="255" t="s">
        <v>7</v>
      </c>
      <c r="C201" s="163" t="s">
        <v>11</v>
      </c>
      <c r="D201" s="168">
        <f>(42+107+87+154+18+21)</f>
        <v>429</v>
      </c>
      <c r="E201" s="169">
        <v>19</v>
      </c>
      <c r="F201" s="168">
        <v>0</v>
      </c>
      <c r="G201" s="169">
        <v>0</v>
      </c>
      <c r="H201" s="164">
        <f>SUM(D201,E201,F201,G201)</f>
        <v>448</v>
      </c>
      <c r="I201" s="5"/>
      <c r="J201" s="5"/>
      <c r="K201" s="255" t="s">
        <v>7</v>
      </c>
      <c r="L201" s="12" t="s">
        <v>11</v>
      </c>
      <c r="M201" s="13">
        <f>D201/H205</f>
        <v>2.2037293881954075E-2</v>
      </c>
      <c r="N201" s="13">
        <f>E201/H205</f>
        <v>9.760106847485488E-4</v>
      </c>
      <c r="O201" s="13">
        <f>F201/H205</f>
        <v>0</v>
      </c>
      <c r="P201" s="13">
        <f>G201/H205</f>
        <v>0</v>
      </c>
      <c r="Q201" s="13">
        <f>SUM(M201,N201,O201,P201)</f>
        <v>2.3013304566702624E-2</v>
      </c>
    </row>
    <row r="202" spans="2:17" ht="20.149999999999999" customHeight="1" x14ac:dyDescent="0.35">
      <c r="B202" s="256"/>
      <c r="C202" s="163" t="s">
        <v>12</v>
      </c>
      <c r="D202" s="168">
        <f>(8+445+1+4)</f>
        <v>458</v>
      </c>
      <c r="E202" s="169">
        <v>4</v>
      </c>
      <c r="F202" s="168">
        <v>0</v>
      </c>
      <c r="G202" s="169">
        <v>0</v>
      </c>
      <c r="H202" s="164">
        <f>SUM(D202,E202,F202:G202)</f>
        <v>462</v>
      </c>
      <c r="I202" s="5"/>
      <c r="J202" s="5"/>
      <c r="K202" s="256"/>
      <c r="L202" s="12" t="s">
        <v>12</v>
      </c>
      <c r="M202" s="13">
        <f>D202/H205</f>
        <v>2.3526994400780807E-2</v>
      </c>
      <c r="N202" s="13">
        <f>E202/H205</f>
        <v>2.0547593363127344E-4</v>
      </c>
      <c r="O202" s="13">
        <f>F202/H205</f>
        <v>0</v>
      </c>
      <c r="P202" s="13">
        <f>G202/H205</f>
        <v>0</v>
      </c>
      <c r="Q202" s="13">
        <f>SUM(M202,N202,O202:P202)</f>
        <v>2.373247033441208E-2</v>
      </c>
    </row>
    <row r="203" spans="2:17" ht="20.149999999999999" customHeight="1" x14ac:dyDescent="0.35">
      <c r="B203" s="238" t="s">
        <v>18</v>
      </c>
      <c r="C203" s="239"/>
      <c r="D203" s="165">
        <f>SUM(D201,D202)</f>
        <v>887</v>
      </c>
      <c r="E203" s="165">
        <f>SUM(E201,E202)</f>
        <v>23</v>
      </c>
      <c r="F203" s="165">
        <f>SUM(F201,F202)</f>
        <v>0</v>
      </c>
      <c r="G203" s="165">
        <f>SUM(G201,G202)</f>
        <v>0</v>
      </c>
      <c r="H203" s="9">
        <f>SUM(H201,H202)</f>
        <v>910</v>
      </c>
      <c r="I203" s="5"/>
      <c r="J203" s="5"/>
      <c r="K203" s="238" t="s">
        <v>18</v>
      </c>
      <c r="L203" s="239"/>
      <c r="M203" s="15">
        <f>SUM(M201,M202)</f>
        <v>4.5564288282734886E-2</v>
      </c>
      <c r="N203" s="15">
        <f>SUM(N201,N202)</f>
        <v>1.1814866183798222E-3</v>
      </c>
      <c r="O203" s="15">
        <f>SUM(O201,O202)</f>
        <v>0</v>
      </c>
      <c r="P203" s="15">
        <f>SUM(P201,P202)</f>
        <v>0</v>
      </c>
      <c r="Q203" s="11">
        <f>SUM(Q201,Q202)</f>
        <v>4.6745774901114701E-2</v>
      </c>
    </row>
    <row r="204" spans="2:17" ht="20.149999999999999" customHeight="1" thickBot="1" x14ac:dyDescent="0.4">
      <c r="B204" s="240"/>
      <c r="C204" s="241"/>
      <c r="D204" s="241"/>
      <c r="E204" s="241"/>
      <c r="F204" s="241"/>
      <c r="G204" s="241"/>
      <c r="H204" s="242"/>
      <c r="I204" s="5"/>
      <c r="J204" s="5"/>
      <c r="K204" s="240"/>
      <c r="L204" s="241"/>
      <c r="M204" s="241"/>
      <c r="N204" s="241"/>
      <c r="O204" s="241"/>
      <c r="P204" s="241"/>
      <c r="Q204" s="242"/>
    </row>
    <row r="205" spans="2:17" ht="20.149999999999999" customHeight="1" thickBot="1" x14ac:dyDescent="0.4">
      <c r="B205" s="243" t="s">
        <v>0</v>
      </c>
      <c r="C205" s="244"/>
      <c r="D205" s="16">
        <f>SUM(D199,D203)</f>
        <v>15693</v>
      </c>
      <c r="E205" s="16">
        <f>SUM(E199,E203)</f>
        <v>3774</v>
      </c>
      <c r="F205" s="16">
        <f>SUM(F199,F203)</f>
        <v>0</v>
      </c>
      <c r="G205" s="16">
        <f>SUM(G199,G203)</f>
        <v>0</v>
      </c>
      <c r="H205" s="16">
        <f>SUM(H199,H203)</f>
        <v>19467</v>
      </c>
      <c r="I205" s="5"/>
      <c r="J205" s="5"/>
      <c r="K205" s="243" t="s">
        <v>0</v>
      </c>
      <c r="L205" s="244"/>
      <c r="M205" s="17">
        <f>SUM(M199,M203)</f>
        <v>0.80613345661889346</v>
      </c>
      <c r="N205" s="17">
        <f>SUM(N199,N203)</f>
        <v>0.19386654338110648</v>
      </c>
      <c r="O205" s="18">
        <f>SUM(O199,O203)</f>
        <v>0</v>
      </c>
      <c r="P205" s="18">
        <f>SUM(P199,P203)</f>
        <v>0</v>
      </c>
      <c r="Q205" s="18">
        <f>SUM(Q199,Q203)</f>
        <v>1</v>
      </c>
    </row>
    <row r="206" spans="2:17" ht="20.149999999999999" customHeight="1" x14ac:dyDescent="0.35">
      <c r="B206" s="232" t="s">
        <v>8</v>
      </c>
      <c r="C206" s="234" t="s">
        <v>15</v>
      </c>
      <c r="D206" s="235"/>
      <c r="E206" s="234" t="s">
        <v>16</v>
      </c>
      <c r="F206" s="235"/>
      <c r="G206" s="236" t="s">
        <v>1</v>
      </c>
      <c r="H206" s="237"/>
      <c r="I206" s="5"/>
      <c r="J206" s="5"/>
      <c r="K206" s="232" t="s">
        <v>8</v>
      </c>
      <c r="L206" s="234" t="s">
        <v>15</v>
      </c>
      <c r="M206" s="235"/>
      <c r="N206" s="234" t="s">
        <v>16</v>
      </c>
      <c r="O206" s="235"/>
      <c r="P206" s="236" t="s">
        <v>1</v>
      </c>
      <c r="Q206" s="237"/>
    </row>
    <row r="207" spans="2:17" ht="20.149999999999999" customHeight="1" x14ac:dyDescent="0.35">
      <c r="B207" s="233"/>
      <c r="C207" s="245">
        <f>SUM(H197,H201)</f>
        <v>17254</v>
      </c>
      <c r="D207" s="246"/>
      <c r="E207" s="245">
        <f>SUM(H198,H202)</f>
        <v>2213</v>
      </c>
      <c r="F207" s="246"/>
      <c r="G207" s="245">
        <f>SUM(H197,H198,H201,H202)</f>
        <v>19467</v>
      </c>
      <c r="H207" s="246"/>
      <c r="I207" s="5"/>
      <c r="J207" s="5"/>
      <c r="K207" s="233"/>
      <c r="L207" s="247">
        <f>SUM(Q197,Q201)</f>
        <v>0.88632043971849794</v>
      </c>
      <c r="M207" s="248"/>
      <c r="N207" s="247">
        <f>SUM(Q198,Q202)</f>
        <v>0.11367956028150203</v>
      </c>
      <c r="O207" s="248"/>
      <c r="P207" s="249">
        <f>SUM(Q197,Q198,Q201,Q202)</f>
        <v>1</v>
      </c>
      <c r="Q207" s="250"/>
    </row>
    <row r="208" spans="2:17" ht="20.149999999999999" customHeight="1" x14ac:dyDescent="0.35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spans="2:17" ht="20.149999999999999" customHeight="1" x14ac:dyDescent="0.35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2:17" ht="20.149999999999999" customHeight="1" x14ac:dyDescent="0.35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2:17" ht="20.149999999999999" customHeight="1" x14ac:dyDescent="0.35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2:17" ht="20.149999999999999" customHeight="1" x14ac:dyDescent="0.35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spans="2:17" ht="20.149999999999999" customHeight="1" x14ac:dyDescent="0.35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2:17" ht="20.149999999999999" customHeight="1" x14ac:dyDescent="0.35">
      <c r="B214" s="5">
        <v>11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spans="2:17" ht="20.149999999999999" customHeight="1" x14ac:dyDescent="0.35">
      <c r="B215" s="263" t="s">
        <v>119</v>
      </c>
      <c r="C215" s="258"/>
      <c r="D215" s="258"/>
      <c r="E215" s="258"/>
      <c r="F215" s="258"/>
      <c r="G215" s="258"/>
      <c r="H215" s="259"/>
      <c r="I215" s="5"/>
      <c r="J215" s="5"/>
      <c r="K215" s="263" t="s">
        <v>120</v>
      </c>
      <c r="L215" s="258"/>
      <c r="M215" s="258"/>
      <c r="N215" s="258"/>
      <c r="O215" s="258"/>
      <c r="P215" s="258"/>
      <c r="Q215" s="259"/>
    </row>
    <row r="216" spans="2:17" ht="20.149999999999999" customHeight="1" x14ac:dyDescent="0.35">
      <c r="B216" s="260"/>
      <c r="C216" s="261"/>
      <c r="D216" s="261"/>
      <c r="E216" s="261"/>
      <c r="F216" s="261"/>
      <c r="G216" s="261"/>
      <c r="H216" s="262"/>
      <c r="I216" s="5"/>
      <c r="J216" s="5"/>
      <c r="K216" s="260"/>
      <c r="L216" s="261"/>
      <c r="M216" s="261"/>
      <c r="N216" s="261"/>
      <c r="O216" s="261"/>
      <c r="P216" s="261"/>
      <c r="Q216" s="262"/>
    </row>
    <row r="217" spans="2:17" ht="20.149999999999999" customHeight="1" x14ac:dyDescent="0.35">
      <c r="B217" s="3" t="s">
        <v>14</v>
      </c>
      <c r="C217" s="6" t="s">
        <v>13</v>
      </c>
      <c r="D217" s="42" t="s">
        <v>3</v>
      </c>
      <c r="E217" s="42" t="s">
        <v>4</v>
      </c>
      <c r="F217" s="42" t="s">
        <v>10</v>
      </c>
      <c r="G217" s="42" t="s">
        <v>5</v>
      </c>
      <c r="H217" s="6" t="s">
        <v>1</v>
      </c>
      <c r="I217" s="5"/>
      <c r="J217" s="5"/>
      <c r="K217" s="3" t="s">
        <v>14</v>
      </c>
      <c r="L217" s="6" t="s">
        <v>13</v>
      </c>
      <c r="M217" s="6" t="s">
        <v>3</v>
      </c>
      <c r="N217" s="6" t="s">
        <v>4</v>
      </c>
      <c r="O217" s="6" t="s">
        <v>10</v>
      </c>
      <c r="P217" s="6" t="s">
        <v>5</v>
      </c>
      <c r="Q217" s="6" t="s">
        <v>1</v>
      </c>
    </row>
    <row r="218" spans="2:17" ht="20.149999999999999" customHeight="1" x14ac:dyDescent="0.35">
      <c r="B218" s="264" t="s">
        <v>6</v>
      </c>
      <c r="C218" s="160" t="s">
        <v>9</v>
      </c>
      <c r="D218" s="166">
        <v>15930</v>
      </c>
      <c r="E218" s="166">
        <v>10539</v>
      </c>
      <c r="F218" s="166">
        <v>182</v>
      </c>
      <c r="G218" s="166">
        <v>2</v>
      </c>
      <c r="H218" s="161">
        <f>SUM(D218,E218,F218,G218)</f>
        <v>26653</v>
      </c>
      <c r="I218" s="5"/>
      <c r="J218" s="5"/>
      <c r="K218" s="264" t="s">
        <v>6</v>
      </c>
      <c r="L218" s="2" t="s">
        <v>9</v>
      </c>
      <c r="M218" s="7">
        <f>D218/H226</f>
        <v>0.45777177505100719</v>
      </c>
      <c r="N218" s="7">
        <f>E218/H226</f>
        <v>0.30285353027385842</v>
      </c>
      <c r="O218" s="7">
        <f>F218/H226</f>
        <v>5.2300353458432716E-3</v>
      </c>
      <c r="P218" s="7">
        <f>G218/H226</f>
        <v>5.7472915888387601E-5</v>
      </c>
      <c r="Q218" s="7">
        <f>SUM(M218,N218,O218,P218)</f>
        <v>0.76591281358659735</v>
      </c>
    </row>
    <row r="219" spans="2:17" ht="20.149999999999999" customHeight="1" x14ac:dyDescent="0.35">
      <c r="B219" s="265"/>
      <c r="C219" s="160" t="s">
        <v>2</v>
      </c>
      <c r="D219" s="166">
        <v>4091</v>
      </c>
      <c r="E219" s="166">
        <v>3448</v>
      </c>
      <c r="F219" s="166">
        <v>170</v>
      </c>
      <c r="G219" s="166">
        <v>0</v>
      </c>
      <c r="H219" s="161">
        <f>SUM(D219,E219,F219,G219)</f>
        <v>7709</v>
      </c>
      <c r="I219" s="5"/>
      <c r="J219" s="5"/>
      <c r="K219" s="265"/>
      <c r="L219" s="2" t="s">
        <v>2</v>
      </c>
      <c r="M219" s="7">
        <f>D219/H226</f>
        <v>0.11756084944969683</v>
      </c>
      <c r="N219" s="7">
        <f>E219/H226</f>
        <v>9.9083306991580217E-2</v>
      </c>
      <c r="O219" s="7">
        <f>F219/H226</f>
        <v>4.8851978505129456E-3</v>
      </c>
      <c r="P219" s="7">
        <f>G219/H226</f>
        <v>0</v>
      </c>
      <c r="Q219" s="7">
        <f>SUM(M219,N219,O219,P219)</f>
        <v>0.22152935429178999</v>
      </c>
    </row>
    <row r="220" spans="2:17" ht="20.149999999999999" customHeight="1" x14ac:dyDescent="0.35">
      <c r="B220" s="238" t="s">
        <v>17</v>
      </c>
      <c r="C220" s="251"/>
      <c r="D220" s="162">
        <f>SUM(D218,D219)</f>
        <v>20021</v>
      </c>
      <c r="E220" s="162">
        <f>SUM(E218,E219)</f>
        <v>13987</v>
      </c>
      <c r="F220" s="162">
        <f>SUM(F218,F219)</f>
        <v>352</v>
      </c>
      <c r="G220" s="162">
        <f>SUM(G218,G219)</f>
        <v>2</v>
      </c>
      <c r="H220" s="9">
        <f>SUM(H218,H219)</f>
        <v>34362</v>
      </c>
      <c r="I220" s="5"/>
      <c r="J220" s="5"/>
      <c r="K220" s="238" t="s">
        <v>17</v>
      </c>
      <c r="L220" s="251"/>
      <c r="M220" s="10">
        <f>SUM(M218,M219)</f>
        <v>0.57533262450070399</v>
      </c>
      <c r="N220" s="10">
        <f>SUM(N218,N219)</f>
        <v>0.40193683726543861</v>
      </c>
      <c r="O220" s="10">
        <f>SUM(O218,O219)</f>
        <v>1.0115233196356217E-2</v>
      </c>
      <c r="P220" s="10">
        <f>SUM(P218,P219)</f>
        <v>5.7472915888387601E-5</v>
      </c>
      <c r="Q220" s="11">
        <f>SUM(Q218,Q219)</f>
        <v>0.98744216787838734</v>
      </c>
    </row>
    <row r="221" spans="2:17" ht="20.149999999999999" customHeight="1" x14ac:dyDescent="0.35">
      <c r="B221" s="252"/>
      <c r="C221" s="253"/>
      <c r="D221" s="266"/>
      <c r="E221" s="266"/>
      <c r="F221" s="266"/>
      <c r="G221" s="266"/>
      <c r="H221" s="254"/>
      <c r="I221" s="5"/>
      <c r="J221" s="5"/>
      <c r="K221" s="252"/>
      <c r="L221" s="253"/>
      <c r="M221" s="253"/>
      <c r="N221" s="253"/>
      <c r="O221" s="253"/>
      <c r="P221" s="253"/>
      <c r="Q221" s="254"/>
    </row>
    <row r="222" spans="2:17" ht="20.149999999999999" customHeight="1" x14ac:dyDescent="0.35">
      <c r="B222" s="255" t="s">
        <v>7</v>
      </c>
      <c r="C222" s="163" t="s">
        <v>11</v>
      </c>
      <c r="D222" s="168">
        <v>255</v>
      </c>
      <c r="E222" s="168">
        <v>90</v>
      </c>
      <c r="F222" s="168">
        <v>1</v>
      </c>
      <c r="G222" s="168">
        <v>0</v>
      </c>
      <c r="H222" s="164">
        <f>SUM(D222,E222,F222,G222)</f>
        <v>346</v>
      </c>
      <c r="I222" s="5"/>
      <c r="J222" s="5"/>
      <c r="K222" s="255" t="s">
        <v>7</v>
      </c>
      <c r="L222" s="12" t="s">
        <v>11</v>
      </c>
      <c r="M222" s="13">
        <f>D222/H226</f>
        <v>7.3277967757694185E-3</v>
      </c>
      <c r="N222" s="13">
        <f>E222/H226</f>
        <v>2.5862812149774418E-3</v>
      </c>
      <c r="O222" s="13">
        <f>F222/H226</f>
        <v>2.87364579441938E-5</v>
      </c>
      <c r="P222" s="13">
        <f>G222/H226</f>
        <v>0</v>
      </c>
      <c r="Q222" s="13">
        <f>SUM(M222,N222,O222,P222)</f>
        <v>9.9428144486910543E-3</v>
      </c>
    </row>
    <row r="223" spans="2:17" ht="20.149999999999999" customHeight="1" x14ac:dyDescent="0.35">
      <c r="B223" s="256"/>
      <c r="C223" s="163" t="s">
        <v>12</v>
      </c>
      <c r="D223" s="168">
        <v>56</v>
      </c>
      <c r="E223" s="168">
        <v>34</v>
      </c>
      <c r="F223" s="168">
        <v>1</v>
      </c>
      <c r="G223" s="168">
        <v>0</v>
      </c>
      <c r="H223" s="164">
        <f>SUM(D223,E223,F223:G223)</f>
        <v>91</v>
      </c>
      <c r="I223" s="5"/>
      <c r="J223" s="5"/>
      <c r="K223" s="256"/>
      <c r="L223" s="12" t="s">
        <v>12</v>
      </c>
      <c r="M223" s="13">
        <f>D223/H226</f>
        <v>1.6092416448748527E-3</v>
      </c>
      <c r="N223" s="13">
        <f>E223/H226</f>
        <v>9.7703957010258913E-4</v>
      </c>
      <c r="O223" s="13">
        <f>F223/H226</f>
        <v>2.87364579441938E-5</v>
      </c>
      <c r="P223" s="13">
        <f>G223/H226</f>
        <v>0</v>
      </c>
      <c r="Q223" s="13">
        <f>SUM(M223,N223,O223:P223)</f>
        <v>2.6150176729216358E-3</v>
      </c>
    </row>
    <row r="224" spans="2:17" ht="20.149999999999999" customHeight="1" x14ac:dyDescent="0.35">
      <c r="B224" s="238" t="s">
        <v>18</v>
      </c>
      <c r="C224" s="239"/>
      <c r="D224" s="165">
        <f>SUM(D222,D223)</f>
        <v>311</v>
      </c>
      <c r="E224" s="165">
        <f>SUM(E222,E223)</f>
        <v>124</v>
      </c>
      <c r="F224" s="165">
        <f>SUM(F222,F223)</f>
        <v>2</v>
      </c>
      <c r="G224" s="165">
        <f>SUM(G222,G223)</f>
        <v>0</v>
      </c>
      <c r="H224" s="9">
        <f>SUM(H222,H223)</f>
        <v>437</v>
      </c>
      <c r="I224" s="5"/>
      <c r="J224" s="5"/>
      <c r="K224" s="238" t="s">
        <v>18</v>
      </c>
      <c r="L224" s="239"/>
      <c r="M224" s="15">
        <f>SUM(M222,M223)</f>
        <v>8.9370384206442707E-3</v>
      </c>
      <c r="N224" s="15">
        <f>SUM(N222,N223)</f>
        <v>3.563320785080031E-3</v>
      </c>
      <c r="O224" s="15">
        <f>SUM(O222,O223)</f>
        <v>5.7472915888387601E-5</v>
      </c>
      <c r="P224" s="15">
        <f>SUM(P222,P223)</f>
        <v>0</v>
      </c>
      <c r="Q224" s="11">
        <f>SUM(Q222,Q223)</f>
        <v>1.255783212161269E-2</v>
      </c>
    </row>
    <row r="225" spans="2:17" ht="20.149999999999999" customHeight="1" thickBot="1" x14ac:dyDescent="0.4">
      <c r="B225" s="240"/>
      <c r="C225" s="241"/>
      <c r="D225" s="241"/>
      <c r="E225" s="241"/>
      <c r="F225" s="241"/>
      <c r="G225" s="241"/>
      <c r="H225" s="242"/>
      <c r="I225" s="5"/>
      <c r="J225" s="5"/>
      <c r="K225" s="240"/>
      <c r="L225" s="241"/>
      <c r="M225" s="241"/>
      <c r="N225" s="241"/>
      <c r="O225" s="241"/>
      <c r="P225" s="241"/>
      <c r="Q225" s="242"/>
    </row>
    <row r="226" spans="2:17" ht="20.149999999999999" customHeight="1" thickBot="1" x14ac:dyDescent="0.4">
      <c r="B226" s="243" t="s">
        <v>0</v>
      </c>
      <c r="C226" s="244"/>
      <c r="D226" s="16">
        <f>SUM(D220,D224)</f>
        <v>20332</v>
      </c>
      <c r="E226" s="16">
        <f>SUM(E220,E224)</f>
        <v>14111</v>
      </c>
      <c r="F226" s="16">
        <f>SUM(F220,F224)</f>
        <v>354</v>
      </c>
      <c r="G226" s="16">
        <f>SUM(G220,G224)</f>
        <v>2</v>
      </c>
      <c r="H226" s="16">
        <f>SUM(H220,H224)</f>
        <v>34799</v>
      </c>
      <c r="I226" s="5"/>
      <c r="J226" s="5"/>
      <c r="K226" s="243" t="s">
        <v>0</v>
      </c>
      <c r="L226" s="244"/>
      <c r="M226" s="17">
        <f>SUM(M220,M224)</f>
        <v>0.5842696629213483</v>
      </c>
      <c r="N226" s="17">
        <f>SUM(N220,N224)</f>
        <v>0.40550015805051864</v>
      </c>
      <c r="O226" s="18">
        <f>SUM(O220,O224)</f>
        <v>1.0172706112244604E-2</v>
      </c>
      <c r="P226" s="18">
        <f>SUM(P220,P224)</f>
        <v>5.7472915888387601E-5</v>
      </c>
      <c r="Q226" s="18">
        <f>SUM(Q220,Q224)</f>
        <v>1</v>
      </c>
    </row>
    <row r="227" spans="2:17" ht="20.149999999999999" customHeight="1" x14ac:dyDescent="0.35">
      <c r="B227" s="232" t="s">
        <v>8</v>
      </c>
      <c r="C227" s="234" t="s">
        <v>15</v>
      </c>
      <c r="D227" s="235"/>
      <c r="E227" s="234" t="s">
        <v>16</v>
      </c>
      <c r="F227" s="235"/>
      <c r="G227" s="236" t="s">
        <v>1</v>
      </c>
      <c r="H227" s="237"/>
      <c r="I227" s="5"/>
      <c r="J227" s="5"/>
      <c r="K227" s="232" t="s">
        <v>8</v>
      </c>
      <c r="L227" s="234" t="s">
        <v>15</v>
      </c>
      <c r="M227" s="235"/>
      <c r="N227" s="234" t="s">
        <v>16</v>
      </c>
      <c r="O227" s="235"/>
      <c r="P227" s="236" t="s">
        <v>1</v>
      </c>
      <c r="Q227" s="237"/>
    </row>
    <row r="228" spans="2:17" ht="20.149999999999999" customHeight="1" x14ac:dyDescent="0.35">
      <c r="B228" s="233"/>
      <c r="C228" s="245">
        <f>SUM(H218,H222)</f>
        <v>26999</v>
      </c>
      <c r="D228" s="246"/>
      <c r="E228" s="245">
        <f>SUM(H219,H223)</f>
        <v>7800</v>
      </c>
      <c r="F228" s="246"/>
      <c r="G228" s="245">
        <f>SUM(H218,H219,H222,H223)</f>
        <v>34799</v>
      </c>
      <c r="H228" s="246"/>
      <c r="I228" s="5"/>
      <c r="J228" s="5"/>
      <c r="K228" s="233"/>
      <c r="L228" s="247">
        <f>SUM(Q218,Q222)</f>
        <v>0.7758556280352884</v>
      </c>
      <c r="M228" s="248"/>
      <c r="N228" s="247">
        <f>SUM(Q219,Q223)</f>
        <v>0.22414437196471163</v>
      </c>
      <c r="O228" s="248"/>
      <c r="P228" s="249">
        <f>SUM(Q218,Q219,Q222,Q223)</f>
        <v>1</v>
      </c>
      <c r="Q228" s="250"/>
    </row>
    <row r="229" spans="2:17" ht="20.149999999999999" customHeight="1" x14ac:dyDescent="0.35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spans="2:17" ht="20.149999999999999" customHeight="1" x14ac:dyDescent="0.35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spans="2:17" ht="20.149999999999999" customHeight="1" x14ac:dyDescent="0.35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spans="2:17" ht="20.149999999999999" customHeight="1" x14ac:dyDescent="0.35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spans="2:17" ht="20.149999999999999" customHeight="1" x14ac:dyDescent="0.35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spans="2:17" ht="20.149999999999999" customHeight="1" x14ac:dyDescent="0.35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2:17" ht="20.149999999999999" customHeight="1" x14ac:dyDescent="0.35">
      <c r="B235" s="5">
        <v>12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2:17" ht="20.149999999999999" customHeight="1" x14ac:dyDescent="0.35">
      <c r="B236" s="263" t="s">
        <v>121</v>
      </c>
      <c r="C236" s="258"/>
      <c r="D236" s="258"/>
      <c r="E236" s="258"/>
      <c r="F236" s="258"/>
      <c r="G236" s="258"/>
      <c r="H236" s="259"/>
      <c r="I236" s="5"/>
      <c r="J236" s="5"/>
      <c r="K236" s="263" t="s">
        <v>122</v>
      </c>
      <c r="L236" s="258"/>
      <c r="M236" s="258"/>
      <c r="N236" s="258"/>
      <c r="O236" s="258"/>
      <c r="P236" s="258"/>
      <c r="Q236" s="259"/>
    </row>
    <row r="237" spans="2:17" ht="20.149999999999999" customHeight="1" x14ac:dyDescent="0.35">
      <c r="B237" s="260"/>
      <c r="C237" s="261"/>
      <c r="D237" s="261"/>
      <c r="E237" s="261"/>
      <c r="F237" s="261"/>
      <c r="G237" s="261"/>
      <c r="H237" s="262"/>
      <c r="I237" s="5"/>
      <c r="J237" s="5"/>
      <c r="K237" s="260"/>
      <c r="L237" s="261"/>
      <c r="M237" s="261"/>
      <c r="N237" s="261"/>
      <c r="O237" s="261"/>
      <c r="P237" s="261"/>
      <c r="Q237" s="262"/>
    </row>
    <row r="238" spans="2:17" ht="20.149999999999999" customHeight="1" x14ac:dyDescent="0.35">
      <c r="B238" s="3" t="s">
        <v>14</v>
      </c>
      <c r="C238" s="6" t="s">
        <v>13</v>
      </c>
      <c r="D238" s="42" t="s">
        <v>3</v>
      </c>
      <c r="E238" s="42" t="s">
        <v>4</v>
      </c>
      <c r="F238" s="42" t="s">
        <v>10</v>
      </c>
      <c r="G238" s="42" t="s">
        <v>5</v>
      </c>
      <c r="H238" s="6" t="s">
        <v>1</v>
      </c>
      <c r="I238" s="5"/>
      <c r="J238" s="5"/>
      <c r="K238" s="3" t="s">
        <v>14</v>
      </c>
      <c r="L238" s="6" t="s">
        <v>13</v>
      </c>
      <c r="M238" s="6" t="s">
        <v>3</v>
      </c>
      <c r="N238" s="6" t="s">
        <v>4</v>
      </c>
      <c r="O238" s="6" t="s">
        <v>10</v>
      </c>
      <c r="P238" s="6" t="s">
        <v>5</v>
      </c>
      <c r="Q238" s="6" t="s">
        <v>1</v>
      </c>
    </row>
    <row r="239" spans="2:17" ht="20.149999999999999" customHeight="1" x14ac:dyDescent="0.35">
      <c r="B239" s="264" t="s">
        <v>6</v>
      </c>
      <c r="C239" s="160" t="s">
        <v>9</v>
      </c>
      <c r="D239" s="166">
        <v>8200</v>
      </c>
      <c r="E239" s="167">
        <v>999</v>
      </c>
      <c r="F239" s="166">
        <v>0</v>
      </c>
      <c r="G239" s="167">
        <v>0</v>
      </c>
      <c r="H239" s="161">
        <f>SUM(D239,E239,F239,G239)</f>
        <v>9199</v>
      </c>
      <c r="I239" s="5"/>
      <c r="J239" s="5"/>
      <c r="K239" s="264" t="s">
        <v>6</v>
      </c>
      <c r="L239" s="2" t="s">
        <v>9</v>
      </c>
      <c r="M239" s="7">
        <f>D239/H247</f>
        <v>0.67735007434330086</v>
      </c>
      <c r="N239" s="7">
        <f>E239/H247</f>
        <v>8.2521063935238725E-2</v>
      </c>
      <c r="O239" s="19">
        <f>F239/H247</f>
        <v>0</v>
      </c>
      <c r="P239" s="19">
        <f>G239/H247</f>
        <v>0</v>
      </c>
      <c r="Q239" s="7">
        <f>SUM(M239,N239,O239,P239)</f>
        <v>0.75987113827853958</v>
      </c>
    </row>
    <row r="240" spans="2:17" ht="20.149999999999999" customHeight="1" x14ac:dyDescent="0.35">
      <c r="B240" s="265"/>
      <c r="C240" s="160" t="s">
        <v>2</v>
      </c>
      <c r="D240" s="2">
        <v>2390</v>
      </c>
      <c r="E240" s="2">
        <v>24</v>
      </c>
      <c r="F240" s="2">
        <v>0</v>
      </c>
      <c r="G240" s="2">
        <v>0</v>
      </c>
      <c r="H240" s="161">
        <f>SUM(D240:G240)</f>
        <v>2414</v>
      </c>
      <c r="I240" s="5"/>
      <c r="J240" s="5"/>
      <c r="K240" s="265"/>
      <c r="L240" s="2" t="s">
        <v>2</v>
      </c>
      <c r="M240" s="7">
        <f>D240/H247</f>
        <v>0.19742276557079133</v>
      </c>
      <c r="N240" s="7">
        <f>E240/H247</f>
        <v>1.9824880224681976E-3</v>
      </c>
      <c r="O240" s="19">
        <f>F240/H247</f>
        <v>0</v>
      </c>
      <c r="P240" s="19">
        <f>G240/H247</f>
        <v>0</v>
      </c>
      <c r="Q240" s="7">
        <f>SUM(M240,N240,O240,P240)</f>
        <v>0.19940525359325953</v>
      </c>
    </row>
    <row r="241" spans="2:17" ht="20.149999999999999" customHeight="1" x14ac:dyDescent="0.35">
      <c r="B241" s="238" t="s">
        <v>17</v>
      </c>
      <c r="C241" s="251"/>
      <c r="D241" s="8">
        <f>SUM(D239,D240)</f>
        <v>10590</v>
      </c>
      <c r="E241" s="8">
        <f>SUM(E239,E240)</f>
        <v>1023</v>
      </c>
      <c r="F241" s="8">
        <f>SUM(F239,F240)</f>
        <v>0</v>
      </c>
      <c r="G241" s="8">
        <f>SUM(G239,G240)</f>
        <v>0</v>
      </c>
      <c r="H241" s="9">
        <f>SUM(H239,H240)</f>
        <v>11613</v>
      </c>
      <c r="I241" s="5"/>
      <c r="J241" s="5"/>
      <c r="K241" s="238" t="s">
        <v>17</v>
      </c>
      <c r="L241" s="251"/>
      <c r="M241" s="10">
        <f>SUM(M239,M240)</f>
        <v>0.87477283991409216</v>
      </c>
      <c r="N241" s="20">
        <f>SUM(N239,N240)</f>
        <v>8.4503551957706924E-2</v>
      </c>
      <c r="O241" s="20">
        <f>SUM(O239,O240)</f>
        <v>0</v>
      </c>
      <c r="P241" s="20">
        <f>SUM(P239,P240)</f>
        <v>0</v>
      </c>
      <c r="Q241" s="21">
        <f>SUM(Q239,Q240)</f>
        <v>0.95927639187179914</v>
      </c>
    </row>
    <row r="242" spans="2:17" ht="20.149999999999999" customHeight="1" x14ac:dyDescent="0.35">
      <c r="B242" s="252"/>
      <c r="C242" s="253"/>
      <c r="D242" s="266"/>
      <c r="E242" s="266"/>
      <c r="F242" s="266"/>
      <c r="G242" s="266"/>
      <c r="H242" s="254"/>
      <c r="I242" s="5"/>
      <c r="J242" s="5"/>
      <c r="K242" s="252"/>
      <c r="L242" s="253"/>
      <c r="M242" s="253"/>
      <c r="N242" s="253"/>
      <c r="O242" s="253"/>
      <c r="P242" s="253"/>
      <c r="Q242" s="254"/>
    </row>
    <row r="243" spans="2:17" ht="20.149999999999999" customHeight="1" x14ac:dyDescent="0.35">
      <c r="B243" s="255" t="s">
        <v>7</v>
      </c>
      <c r="C243" s="163" t="s">
        <v>11</v>
      </c>
      <c r="D243" s="168">
        <v>300</v>
      </c>
      <c r="E243" s="169">
        <v>182</v>
      </c>
      <c r="F243" s="168">
        <v>0</v>
      </c>
      <c r="G243" s="169">
        <v>0</v>
      </c>
      <c r="H243" s="164">
        <f>SUM(D243,E243,F243,G243)</f>
        <v>482</v>
      </c>
      <c r="I243" s="5"/>
      <c r="J243" s="5"/>
      <c r="K243" s="255" t="s">
        <v>7</v>
      </c>
      <c r="L243" s="12" t="s">
        <v>11</v>
      </c>
      <c r="M243" s="13">
        <f>D243/H247</f>
        <v>2.478110028085247E-2</v>
      </c>
      <c r="N243" s="13">
        <f>E243/H247</f>
        <v>1.5033867503717165E-2</v>
      </c>
      <c r="O243" s="13">
        <f>F243/H247</f>
        <v>0</v>
      </c>
      <c r="P243" s="13">
        <f>G243/H247</f>
        <v>0</v>
      </c>
      <c r="Q243" s="13">
        <f>SUM(M243,N243,O243,P243)</f>
        <v>3.9814967784569638E-2</v>
      </c>
    </row>
    <row r="244" spans="2:17" ht="20.149999999999999" customHeight="1" x14ac:dyDescent="0.35">
      <c r="B244" s="256"/>
      <c r="C244" s="163" t="s">
        <v>12</v>
      </c>
      <c r="D244" s="168">
        <v>11</v>
      </c>
      <c r="E244" s="169">
        <v>0</v>
      </c>
      <c r="F244" s="168">
        <v>0</v>
      </c>
      <c r="G244" s="169">
        <v>0</v>
      </c>
      <c r="H244" s="164">
        <f>SUM(D244,E244,F244:G244)</f>
        <v>11</v>
      </c>
      <c r="I244" s="5"/>
      <c r="J244" s="5"/>
      <c r="K244" s="256"/>
      <c r="L244" s="12" t="s">
        <v>12</v>
      </c>
      <c r="M244" s="13">
        <f>D244/H247</f>
        <v>9.0864034363125719E-4</v>
      </c>
      <c r="N244" s="13">
        <f>E244/H247</f>
        <v>0</v>
      </c>
      <c r="O244" s="13">
        <f>F244/H247</f>
        <v>0</v>
      </c>
      <c r="P244" s="13">
        <f>G244/H247</f>
        <v>0</v>
      </c>
      <c r="Q244" s="13">
        <f>SUM(M244,N244,O244:P244)</f>
        <v>9.0864034363125719E-4</v>
      </c>
    </row>
    <row r="245" spans="2:17" ht="20.149999999999999" customHeight="1" x14ac:dyDescent="0.35">
      <c r="B245" s="238" t="s">
        <v>18</v>
      </c>
      <c r="C245" s="239"/>
      <c r="D245" s="165">
        <f>SUM(D243,D244)</f>
        <v>311</v>
      </c>
      <c r="E245" s="165">
        <f>SUM(E243,E244)</f>
        <v>182</v>
      </c>
      <c r="F245" s="165">
        <f>SUM(F243,F244)</f>
        <v>0</v>
      </c>
      <c r="G245" s="165">
        <f>SUM(G243,G244)</f>
        <v>0</v>
      </c>
      <c r="H245" s="9">
        <f>SUM(H243,H244)</f>
        <v>493</v>
      </c>
      <c r="I245" s="5"/>
      <c r="J245" s="5"/>
      <c r="K245" s="238" t="s">
        <v>18</v>
      </c>
      <c r="L245" s="239"/>
      <c r="M245" s="15">
        <f>SUM(M243,M244)</f>
        <v>2.5689740624483728E-2</v>
      </c>
      <c r="N245" s="15">
        <f>SUM(N243,N244)</f>
        <v>1.5033867503717165E-2</v>
      </c>
      <c r="O245" s="15">
        <f>SUM(O243,O244)</f>
        <v>0</v>
      </c>
      <c r="P245" s="15">
        <f>SUM(P243,P244)</f>
        <v>0</v>
      </c>
      <c r="Q245" s="11">
        <f>SUM(Q243,Q244)</f>
        <v>4.0723608128200896E-2</v>
      </c>
    </row>
    <row r="246" spans="2:17" ht="20.149999999999999" customHeight="1" thickBot="1" x14ac:dyDescent="0.4">
      <c r="B246" s="240"/>
      <c r="C246" s="241"/>
      <c r="D246" s="241"/>
      <c r="E246" s="241"/>
      <c r="F246" s="241"/>
      <c r="G246" s="241"/>
      <c r="H246" s="242"/>
      <c r="I246" s="5"/>
      <c r="J246" s="5"/>
      <c r="K246" s="240"/>
      <c r="L246" s="241"/>
      <c r="M246" s="241"/>
      <c r="N246" s="241"/>
      <c r="O246" s="241"/>
      <c r="P246" s="241"/>
      <c r="Q246" s="242"/>
    </row>
    <row r="247" spans="2:17" ht="20.149999999999999" customHeight="1" thickBot="1" x14ac:dyDescent="0.4">
      <c r="B247" s="243" t="s">
        <v>0</v>
      </c>
      <c r="C247" s="244"/>
      <c r="D247" s="16">
        <f>SUM(D241,D245)</f>
        <v>10901</v>
      </c>
      <c r="E247" s="16">
        <f>SUM(E241,E245)</f>
        <v>1205</v>
      </c>
      <c r="F247" s="16">
        <f>SUM(F241,F245)</f>
        <v>0</v>
      </c>
      <c r="G247" s="16">
        <f>SUM(G241,G245)</f>
        <v>0</v>
      </c>
      <c r="H247" s="16">
        <f>SUM(H241,H245)</f>
        <v>12106</v>
      </c>
      <c r="I247" s="5"/>
      <c r="J247" s="5"/>
      <c r="K247" s="243" t="s">
        <v>0</v>
      </c>
      <c r="L247" s="244"/>
      <c r="M247" s="17">
        <f>SUM(M241,M245)</f>
        <v>0.90046258053857586</v>
      </c>
      <c r="N247" s="17">
        <f>SUM(N241,N245)</f>
        <v>9.9537419461424081E-2</v>
      </c>
      <c r="O247" s="18">
        <f>SUM(O241,O245)</f>
        <v>0</v>
      </c>
      <c r="P247" s="18">
        <f>SUM(P241,P245)</f>
        <v>0</v>
      </c>
      <c r="Q247" s="18">
        <f>SUM(Q241,Q245)</f>
        <v>1</v>
      </c>
    </row>
    <row r="248" spans="2:17" ht="20.149999999999999" customHeight="1" x14ac:dyDescent="0.35">
      <c r="B248" s="232" t="s">
        <v>8</v>
      </c>
      <c r="C248" s="234" t="s">
        <v>15</v>
      </c>
      <c r="D248" s="235"/>
      <c r="E248" s="234" t="s">
        <v>16</v>
      </c>
      <c r="F248" s="235"/>
      <c r="G248" s="236" t="s">
        <v>1</v>
      </c>
      <c r="H248" s="237"/>
      <c r="I248" s="5"/>
      <c r="J248" s="5"/>
      <c r="K248" s="232" t="s">
        <v>8</v>
      </c>
      <c r="L248" s="234" t="s">
        <v>15</v>
      </c>
      <c r="M248" s="235"/>
      <c r="N248" s="234" t="s">
        <v>16</v>
      </c>
      <c r="O248" s="235"/>
      <c r="P248" s="236" t="s">
        <v>1</v>
      </c>
      <c r="Q248" s="237"/>
    </row>
    <row r="249" spans="2:17" ht="20.149999999999999" customHeight="1" x14ac:dyDescent="0.35">
      <c r="B249" s="233"/>
      <c r="C249" s="245">
        <f>SUM(H239,H243)</f>
        <v>9681</v>
      </c>
      <c r="D249" s="246"/>
      <c r="E249" s="245">
        <f>SUM(H240,H244)</f>
        <v>2425</v>
      </c>
      <c r="F249" s="246"/>
      <c r="G249" s="245">
        <f>SUM(H239,H240,H243,H244)</f>
        <v>12106</v>
      </c>
      <c r="H249" s="246"/>
      <c r="I249" s="5"/>
      <c r="J249" s="5"/>
      <c r="K249" s="233"/>
      <c r="L249" s="249">
        <f>SUM(Q239,Q243)</f>
        <v>0.79968610606310919</v>
      </c>
      <c r="M249" s="250"/>
      <c r="N249" s="249">
        <f>SUM(Q240,Q244)</f>
        <v>0.20031389393689078</v>
      </c>
      <c r="O249" s="250"/>
      <c r="P249" s="249">
        <f>SUM(Q239,Q240,Q243,Q244)</f>
        <v>1</v>
      </c>
      <c r="Q249" s="250"/>
    </row>
    <row r="250" spans="2:17" ht="20.149999999999999" customHeight="1" x14ac:dyDescent="0.35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spans="2:17" ht="20.149999999999999" customHeight="1" x14ac:dyDescent="0.35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spans="2:17" ht="20.149999999999999" customHeight="1" x14ac:dyDescent="0.35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spans="2:17" ht="20.149999999999999" customHeight="1" x14ac:dyDescent="0.35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spans="2:17" ht="20.149999999999999" customHeight="1" x14ac:dyDescent="0.35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spans="2:17" ht="20.149999999999999" customHeight="1" x14ac:dyDescent="0.3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spans="2:17" ht="20.149999999999999" customHeight="1" x14ac:dyDescent="0.35">
      <c r="B256" s="5">
        <v>13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spans="2:17" ht="20.149999999999999" customHeight="1" x14ac:dyDescent="0.35">
      <c r="B257" s="263" t="s">
        <v>123</v>
      </c>
      <c r="C257" s="258"/>
      <c r="D257" s="258"/>
      <c r="E257" s="258"/>
      <c r="F257" s="258"/>
      <c r="G257" s="258"/>
      <c r="H257" s="259"/>
      <c r="I257" s="5"/>
      <c r="J257" s="5"/>
      <c r="K257" s="263" t="s">
        <v>124</v>
      </c>
      <c r="L257" s="258"/>
      <c r="M257" s="258"/>
      <c r="N257" s="258"/>
      <c r="O257" s="258"/>
      <c r="P257" s="258"/>
      <c r="Q257" s="259"/>
    </row>
    <row r="258" spans="2:17" ht="20.149999999999999" customHeight="1" x14ac:dyDescent="0.35">
      <c r="B258" s="260"/>
      <c r="C258" s="261"/>
      <c r="D258" s="261"/>
      <c r="E258" s="261"/>
      <c r="F258" s="261"/>
      <c r="G258" s="261"/>
      <c r="H258" s="262"/>
      <c r="I258" s="5"/>
      <c r="J258" s="5"/>
      <c r="K258" s="260"/>
      <c r="L258" s="261"/>
      <c r="M258" s="261"/>
      <c r="N258" s="261"/>
      <c r="O258" s="261"/>
      <c r="P258" s="261"/>
      <c r="Q258" s="262"/>
    </row>
    <row r="259" spans="2:17" ht="20.149999999999999" customHeight="1" x14ac:dyDescent="0.35">
      <c r="B259" s="3" t="s">
        <v>14</v>
      </c>
      <c r="C259" s="6" t="s">
        <v>13</v>
      </c>
      <c r="D259" s="42" t="s">
        <v>3</v>
      </c>
      <c r="E259" s="42" t="s">
        <v>4</v>
      </c>
      <c r="F259" s="42" t="s">
        <v>10</v>
      </c>
      <c r="G259" s="42" t="s">
        <v>5</v>
      </c>
      <c r="H259" s="6" t="s">
        <v>1</v>
      </c>
      <c r="I259" s="5"/>
      <c r="J259" s="5"/>
      <c r="K259" s="3" t="s">
        <v>14</v>
      </c>
      <c r="L259" s="6" t="s">
        <v>13</v>
      </c>
      <c r="M259" s="6" t="s">
        <v>3</v>
      </c>
      <c r="N259" s="6" t="s">
        <v>4</v>
      </c>
      <c r="O259" s="6" t="s">
        <v>10</v>
      </c>
      <c r="P259" s="6" t="s">
        <v>5</v>
      </c>
      <c r="Q259" s="6" t="s">
        <v>1</v>
      </c>
    </row>
    <row r="260" spans="2:17" ht="20.149999999999999" customHeight="1" x14ac:dyDescent="0.35">
      <c r="B260" s="264" t="s">
        <v>6</v>
      </c>
      <c r="C260" s="160" t="s">
        <v>9</v>
      </c>
      <c r="D260" s="166">
        <v>5900</v>
      </c>
      <c r="E260" s="167">
        <v>1128</v>
      </c>
      <c r="F260" s="166">
        <v>87</v>
      </c>
      <c r="G260" s="167">
        <v>0</v>
      </c>
      <c r="H260" s="161">
        <f>SUM(D260:G260)</f>
        <v>7115</v>
      </c>
      <c r="I260" s="5"/>
      <c r="J260" s="5"/>
      <c r="K260" s="264" t="s">
        <v>6</v>
      </c>
      <c r="L260" s="2" t="s">
        <v>9</v>
      </c>
      <c r="M260" s="7">
        <f>D260/H268</f>
        <v>0.68405797101449273</v>
      </c>
      <c r="N260" s="7">
        <f>E260/H268</f>
        <v>0.13078260869565217</v>
      </c>
      <c r="O260" s="7">
        <f>F260/H268</f>
        <v>1.008695652173913E-2</v>
      </c>
      <c r="P260" s="7">
        <f>G260/H268</f>
        <v>0</v>
      </c>
      <c r="Q260" s="7">
        <f>SUM(M260,N260,O260,P260)</f>
        <v>0.82492753623188397</v>
      </c>
    </row>
    <row r="261" spans="2:17" ht="20.149999999999999" customHeight="1" x14ac:dyDescent="0.35">
      <c r="B261" s="265"/>
      <c r="C261" s="160" t="s">
        <v>2</v>
      </c>
      <c r="D261" s="166">
        <v>938</v>
      </c>
      <c r="E261" s="167">
        <v>176</v>
      </c>
      <c r="F261" s="166">
        <v>68</v>
      </c>
      <c r="G261" s="167">
        <v>0</v>
      </c>
      <c r="H261" s="161">
        <f>SUM(D261,E261,F261,G261)</f>
        <v>1182</v>
      </c>
      <c r="I261" s="5"/>
      <c r="J261" s="5"/>
      <c r="K261" s="265"/>
      <c r="L261" s="2" t="s">
        <v>2</v>
      </c>
      <c r="M261" s="7">
        <f>D261/H268</f>
        <v>0.1087536231884058</v>
      </c>
      <c r="N261" s="7">
        <f>E261/H268</f>
        <v>2.0405797101449276E-2</v>
      </c>
      <c r="O261" s="7">
        <f>F261/H268</f>
        <v>7.8840579710144926E-3</v>
      </c>
      <c r="P261" s="7">
        <f>G261/H268</f>
        <v>0</v>
      </c>
      <c r="Q261" s="7">
        <f>SUM(M261,N261,O261,P261)</f>
        <v>0.13704347826086957</v>
      </c>
    </row>
    <row r="262" spans="2:17" ht="20.149999999999999" customHeight="1" x14ac:dyDescent="0.35">
      <c r="B262" s="238" t="s">
        <v>17</v>
      </c>
      <c r="C262" s="251"/>
      <c r="D262" s="162">
        <f>SUM(D260,D261)</f>
        <v>6838</v>
      </c>
      <c r="E262" s="162">
        <f>SUM(E260,E261)</f>
        <v>1304</v>
      </c>
      <c r="F262" s="162">
        <f>SUM(F260,F261)</f>
        <v>155</v>
      </c>
      <c r="G262" s="162">
        <f>SUM(G260,G261)</f>
        <v>0</v>
      </c>
      <c r="H262" s="9">
        <f>SUM(H260,H261)</f>
        <v>8297</v>
      </c>
      <c r="I262" s="5"/>
      <c r="J262" s="5"/>
      <c r="K262" s="238" t="s">
        <v>17</v>
      </c>
      <c r="L262" s="251"/>
      <c r="M262" s="10">
        <f>SUM(M260,M261)</f>
        <v>0.79281159420289848</v>
      </c>
      <c r="N262" s="10">
        <f>SUM(N260,N261)</f>
        <v>0.15118840579710144</v>
      </c>
      <c r="O262" s="10">
        <f>SUM(O260,O261)</f>
        <v>1.7971014492753623E-2</v>
      </c>
      <c r="P262" s="10">
        <f>SUM(P260,P261)</f>
        <v>0</v>
      </c>
      <c r="Q262" s="11">
        <f>SUM(Q260,Q261)</f>
        <v>0.96197101449275357</v>
      </c>
    </row>
    <row r="263" spans="2:17" ht="20.149999999999999" customHeight="1" x14ac:dyDescent="0.35">
      <c r="B263" s="252"/>
      <c r="C263" s="253"/>
      <c r="D263" s="266"/>
      <c r="E263" s="266"/>
      <c r="F263" s="266"/>
      <c r="G263" s="266"/>
      <c r="H263" s="254"/>
      <c r="I263" s="5"/>
      <c r="J263" s="5"/>
      <c r="K263" s="252"/>
      <c r="L263" s="253"/>
      <c r="M263" s="253"/>
      <c r="N263" s="253"/>
      <c r="O263" s="253"/>
      <c r="P263" s="253"/>
      <c r="Q263" s="254"/>
    </row>
    <row r="264" spans="2:17" ht="20.149999999999999" customHeight="1" x14ac:dyDescent="0.35">
      <c r="B264" s="255" t="s">
        <v>7</v>
      </c>
      <c r="C264" s="163" t="s">
        <v>11</v>
      </c>
      <c r="D264" s="168">
        <v>275</v>
      </c>
      <c r="E264" s="169">
        <v>20</v>
      </c>
      <c r="F264" s="168">
        <v>7</v>
      </c>
      <c r="G264" s="169">
        <v>0</v>
      </c>
      <c r="H264" s="164">
        <f>SUM(D264:G264)</f>
        <v>302</v>
      </c>
      <c r="I264" s="5"/>
      <c r="J264" s="5"/>
      <c r="K264" s="255" t="s">
        <v>7</v>
      </c>
      <c r="L264" s="12" t="s">
        <v>11</v>
      </c>
      <c r="M264" s="13">
        <f>D264/H268</f>
        <v>3.1884057971014491E-2</v>
      </c>
      <c r="N264" s="13">
        <f>E264/H268</f>
        <v>2.3188405797101449E-3</v>
      </c>
      <c r="O264" s="13">
        <f>F264/H268</f>
        <v>8.1159420289855073E-4</v>
      </c>
      <c r="P264" s="13">
        <f>G264/H268</f>
        <v>0</v>
      </c>
      <c r="Q264" s="13">
        <f>SUM(M264,N264,O264,P264)</f>
        <v>3.5014492753623186E-2</v>
      </c>
    </row>
    <row r="265" spans="2:17" ht="20.149999999999999" customHeight="1" x14ac:dyDescent="0.35">
      <c r="B265" s="256"/>
      <c r="C265" s="163" t="s">
        <v>12</v>
      </c>
      <c r="D265" s="168">
        <v>17</v>
      </c>
      <c r="E265" s="169">
        <v>5</v>
      </c>
      <c r="F265" s="168">
        <v>4</v>
      </c>
      <c r="G265" s="169">
        <v>0</v>
      </c>
      <c r="H265" s="164">
        <f>SUM(D265,E265,F265:G265)</f>
        <v>26</v>
      </c>
      <c r="I265" s="5"/>
      <c r="J265" s="5"/>
      <c r="K265" s="256"/>
      <c r="L265" s="12" t="s">
        <v>12</v>
      </c>
      <c r="M265" s="13">
        <f>D265/H268</f>
        <v>1.9710144927536232E-3</v>
      </c>
      <c r="N265" s="13">
        <f>E265/H268</f>
        <v>5.7971014492753622E-4</v>
      </c>
      <c r="O265" s="13">
        <f>F265/H268</f>
        <v>4.6376811594202896E-4</v>
      </c>
      <c r="P265" s="13">
        <f>G265/H268</f>
        <v>0</v>
      </c>
      <c r="Q265" s="13">
        <f>SUM(M265,N265,O265:P265)</f>
        <v>3.0144927536231883E-3</v>
      </c>
    </row>
    <row r="266" spans="2:17" ht="20.149999999999999" customHeight="1" x14ac:dyDescent="0.35">
      <c r="B266" s="238" t="s">
        <v>18</v>
      </c>
      <c r="C266" s="239"/>
      <c r="D266" s="165">
        <f>SUM(D264,D265)</f>
        <v>292</v>
      </c>
      <c r="E266" s="165">
        <f>SUM(E264,E265)</f>
        <v>25</v>
      </c>
      <c r="F266" s="165">
        <f>SUM(F264,F265)</f>
        <v>11</v>
      </c>
      <c r="G266" s="165">
        <f>SUM(G264,G265)</f>
        <v>0</v>
      </c>
      <c r="H266" s="9">
        <f>SUM(H264,H265)</f>
        <v>328</v>
      </c>
      <c r="I266" s="5"/>
      <c r="J266" s="5"/>
      <c r="K266" s="238" t="s">
        <v>18</v>
      </c>
      <c r="L266" s="239"/>
      <c r="M266" s="15">
        <f>SUM(M264,M265)</f>
        <v>3.3855072463768114E-2</v>
      </c>
      <c r="N266" s="15">
        <f>SUM(N264,N265)</f>
        <v>2.8985507246376812E-3</v>
      </c>
      <c r="O266" s="15">
        <f>SUM(O264,O265)</f>
        <v>1.2753623188405797E-3</v>
      </c>
      <c r="P266" s="15">
        <f>SUM(P264,P265)</f>
        <v>0</v>
      </c>
      <c r="Q266" s="11">
        <f>SUM(Q264,Q265)</f>
        <v>3.8028985507246371E-2</v>
      </c>
    </row>
    <row r="267" spans="2:17" ht="20.149999999999999" customHeight="1" thickBot="1" x14ac:dyDescent="0.4">
      <c r="B267" s="240"/>
      <c r="C267" s="241"/>
      <c r="D267" s="241"/>
      <c r="E267" s="241"/>
      <c r="F267" s="241"/>
      <c r="G267" s="241"/>
      <c r="H267" s="242"/>
      <c r="I267" s="5"/>
      <c r="J267" s="5"/>
      <c r="K267" s="240"/>
      <c r="L267" s="241"/>
      <c r="M267" s="241"/>
      <c r="N267" s="241"/>
      <c r="O267" s="241"/>
      <c r="P267" s="241"/>
      <c r="Q267" s="242"/>
    </row>
    <row r="268" spans="2:17" ht="20.149999999999999" customHeight="1" thickBot="1" x14ac:dyDescent="0.4">
      <c r="B268" s="243" t="s">
        <v>0</v>
      </c>
      <c r="C268" s="244"/>
      <c r="D268" s="16">
        <f>SUM(D262,D266)</f>
        <v>7130</v>
      </c>
      <c r="E268" s="16">
        <f>SUM(E262,E266)</f>
        <v>1329</v>
      </c>
      <c r="F268" s="16">
        <f>SUM(F262,F266)</f>
        <v>166</v>
      </c>
      <c r="G268" s="16">
        <f>SUM(G262,G266)</f>
        <v>0</v>
      </c>
      <c r="H268" s="16">
        <f>SUM(H262,H266)</f>
        <v>8625</v>
      </c>
      <c r="I268" s="5"/>
      <c r="J268" s="5"/>
      <c r="K268" s="243" t="s">
        <v>0</v>
      </c>
      <c r="L268" s="244"/>
      <c r="M268" s="17">
        <f>SUM(M262,M266)</f>
        <v>0.82666666666666655</v>
      </c>
      <c r="N268" s="17">
        <f>SUM(N262,N266)</f>
        <v>0.15408695652173912</v>
      </c>
      <c r="O268" s="18">
        <f>SUM(O262,O266)</f>
        <v>1.9246376811594204E-2</v>
      </c>
      <c r="P268" s="18">
        <f>SUM(P262,P266)</f>
        <v>0</v>
      </c>
      <c r="Q268" s="18">
        <f>SUM(Q262,Q266)</f>
        <v>1</v>
      </c>
    </row>
    <row r="269" spans="2:17" ht="20.149999999999999" customHeight="1" x14ac:dyDescent="0.35">
      <c r="B269" s="232" t="s">
        <v>8</v>
      </c>
      <c r="C269" s="234" t="s">
        <v>15</v>
      </c>
      <c r="D269" s="235"/>
      <c r="E269" s="234" t="s">
        <v>16</v>
      </c>
      <c r="F269" s="235"/>
      <c r="G269" s="236" t="s">
        <v>1</v>
      </c>
      <c r="H269" s="237"/>
      <c r="I269" s="5"/>
      <c r="J269" s="5"/>
      <c r="K269" s="232" t="s">
        <v>8</v>
      </c>
      <c r="L269" s="234" t="s">
        <v>15</v>
      </c>
      <c r="M269" s="235"/>
      <c r="N269" s="234" t="s">
        <v>16</v>
      </c>
      <c r="O269" s="235"/>
      <c r="P269" s="236" t="s">
        <v>1</v>
      </c>
      <c r="Q269" s="237"/>
    </row>
    <row r="270" spans="2:17" ht="20.149999999999999" customHeight="1" x14ac:dyDescent="0.35">
      <c r="B270" s="233"/>
      <c r="C270" s="245">
        <f>SUM(H260,H264)</f>
        <v>7417</v>
      </c>
      <c r="D270" s="246"/>
      <c r="E270" s="245">
        <f>SUM(H261,H265)</f>
        <v>1208</v>
      </c>
      <c r="F270" s="246"/>
      <c r="G270" s="245">
        <f>SUM(H260,H261,H264,H265)</f>
        <v>8625</v>
      </c>
      <c r="H270" s="246"/>
      <c r="I270" s="5"/>
      <c r="J270" s="5"/>
      <c r="K270" s="233"/>
      <c r="L270" s="247">
        <f>SUM(Q260,Q264)</f>
        <v>0.8599420289855072</v>
      </c>
      <c r="M270" s="248"/>
      <c r="N270" s="247">
        <f>SUM(Q261,Q265)</f>
        <v>0.14005797101449277</v>
      </c>
      <c r="O270" s="248"/>
      <c r="P270" s="249">
        <f>SUM(Q260,Q261,Q264,Q265)</f>
        <v>1</v>
      </c>
      <c r="Q270" s="250"/>
    </row>
    <row r="271" spans="2:17" ht="20.149999999999999" customHeight="1" x14ac:dyDescent="0.35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spans="2:17" ht="20.149999999999999" customHeight="1" x14ac:dyDescent="0.35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spans="2:17" ht="20.149999999999999" customHeight="1" x14ac:dyDescent="0.35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spans="2:17" ht="20.149999999999999" customHeight="1" x14ac:dyDescent="0.35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spans="2:17" ht="20.149999999999999" customHeight="1" x14ac:dyDescent="0.3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spans="2:17" ht="20.149999999999999" customHeight="1" x14ac:dyDescent="0.35">
      <c r="B276" s="5">
        <v>14</v>
      </c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spans="2:17" ht="20.149999999999999" customHeight="1" x14ac:dyDescent="0.35">
      <c r="B277" s="263" t="s">
        <v>125</v>
      </c>
      <c r="C277" s="258"/>
      <c r="D277" s="258"/>
      <c r="E277" s="258"/>
      <c r="F277" s="258"/>
      <c r="G277" s="258"/>
      <c r="H277" s="259"/>
      <c r="I277" s="5"/>
      <c r="J277" s="5"/>
      <c r="K277" s="263" t="s">
        <v>126</v>
      </c>
      <c r="L277" s="258"/>
      <c r="M277" s="258"/>
      <c r="N277" s="258"/>
      <c r="O277" s="258"/>
      <c r="P277" s="258"/>
      <c r="Q277" s="259"/>
    </row>
    <row r="278" spans="2:17" ht="20.149999999999999" customHeight="1" x14ac:dyDescent="0.35">
      <c r="B278" s="260"/>
      <c r="C278" s="261"/>
      <c r="D278" s="261"/>
      <c r="E278" s="261"/>
      <c r="F278" s="261"/>
      <c r="G278" s="261"/>
      <c r="H278" s="262"/>
      <c r="I278" s="5"/>
      <c r="J278" s="5"/>
      <c r="K278" s="260"/>
      <c r="L278" s="261"/>
      <c r="M278" s="261"/>
      <c r="N278" s="261"/>
      <c r="O278" s="261"/>
      <c r="P278" s="261"/>
      <c r="Q278" s="262"/>
    </row>
    <row r="279" spans="2:17" ht="20.149999999999999" customHeight="1" x14ac:dyDescent="0.35">
      <c r="B279" s="3" t="s">
        <v>14</v>
      </c>
      <c r="C279" s="6" t="s">
        <v>13</v>
      </c>
      <c r="D279" s="42" t="s">
        <v>3</v>
      </c>
      <c r="E279" s="42" t="s">
        <v>4</v>
      </c>
      <c r="F279" s="42" t="s">
        <v>10</v>
      </c>
      <c r="G279" s="42" t="s">
        <v>5</v>
      </c>
      <c r="H279" s="6" t="s">
        <v>1</v>
      </c>
      <c r="I279" s="5"/>
      <c r="J279" s="5"/>
      <c r="K279" s="3" t="s">
        <v>14</v>
      </c>
      <c r="L279" s="6" t="s">
        <v>13</v>
      </c>
      <c r="M279" s="6" t="s">
        <v>3</v>
      </c>
      <c r="N279" s="6" t="s">
        <v>4</v>
      </c>
      <c r="O279" s="6" t="s">
        <v>10</v>
      </c>
      <c r="P279" s="6" t="s">
        <v>5</v>
      </c>
      <c r="Q279" s="6" t="s">
        <v>1</v>
      </c>
    </row>
    <row r="280" spans="2:17" ht="20.149999999999999" customHeight="1" x14ac:dyDescent="0.35">
      <c r="B280" s="264" t="s">
        <v>6</v>
      </c>
      <c r="C280" s="160" t="s">
        <v>9</v>
      </c>
      <c r="D280" s="166">
        <v>10715</v>
      </c>
      <c r="E280" s="167">
        <v>0</v>
      </c>
      <c r="F280" s="166">
        <v>0</v>
      </c>
      <c r="G280" s="167">
        <v>0</v>
      </c>
      <c r="H280" s="161">
        <f>SUM(D280,E280,F280,G280)</f>
        <v>10715</v>
      </c>
      <c r="I280" s="5"/>
      <c r="J280" s="5"/>
      <c r="K280" s="264" t="s">
        <v>6</v>
      </c>
      <c r="L280" s="2" t="s">
        <v>9</v>
      </c>
      <c r="M280" s="22">
        <f>D280/H288</f>
        <v>0.79382130686027563</v>
      </c>
      <c r="N280" s="22">
        <f>E280/H288</f>
        <v>0</v>
      </c>
      <c r="O280" s="22">
        <f>F280/H288</f>
        <v>0</v>
      </c>
      <c r="P280" s="22">
        <f>G280/H288</f>
        <v>0</v>
      </c>
      <c r="Q280" s="22">
        <f>SUM(M280,N280,O280,P280)</f>
        <v>0.79382130686027563</v>
      </c>
    </row>
    <row r="281" spans="2:17" ht="20.149999999999999" customHeight="1" x14ac:dyDescent="0.35">
      <c r="B281" s="265"/>
      <c r="C281" s="160" t="s">
        <v>2</v>
      </c>
      <c r="D281" s="166">
        <v>1973</v>
      </c>
      <c r="E281" s="167">
        <v>0</v>
      </c>
      <c r="F281" s="166">
        <v>0</v>
      </c>
      <c r="G281" s="167">
        <v>0</v>
      </c>
      <c r="H281" s="161">
        <f>SUM(D281,E281,F281,G281)</f>
        <v>1973</v>
      </c>
      <c r="I281" s="5"/>
      <c r="J281" s="5"/>
      <c r="K281" s="265"/>
      <c r="L281" s="2" t="s">
        <v>2</v>
      </c>
      <c r="M281" s="22">
        <f>D281/H288</f>
        <v>0.14616980293376797</v>
      </c>
      <c r="N281" s="22">
        <f>E281/H288</f>
        <v>0</v>
      </c>
      <c r="O281" s="22">
        <f>F281/H288</f>
        <v>0</v>
      </c>
      <c r="P281" s="22">
        <f>G281/H288</f>
        <v>0</v>
      </c>
      <c r="Q281" s="22">
        <f>SUM(M281,N281,O281,P281)</f>
        <v>0.14616980293376797</v>
      </c>
    </row>
    <row r="282" spans="2:17" ht="20.149999999999999" customHeight="1" x14ac:dyDescent="0.35">
      <c r="B282" s="238" t="s">
        <v>17</v>
      </c>
      <c r="C282" s="251"/>
      <c r="D282" s="162">
        <f>SUM(D280,D281)</f>
        <v>12688</v>
      </c>
      <c r="E282" s="162">
        <f>SUM(E280,E281)</f>
        <v>0</v>
      </c>
      <c r="F282" s="162">
        <f>SUM(F280,F281)</f>
        <v>0</v>
      </c>
      <c r="G282" s="162">
        <f>SUM(G280,G281)</f>
        <v>0</v>
      </c>
      <c r="H282" s="9">
        <f>SUM(H280,H281)</f>
        <v>12688</v>
      </c>
      <c r="I282" s="5"/>
      <c r="J282" s="5"/>
      <c r="K282" s="238" t="s">
        <v>17</v>
      </c>
      <c r="L282" s="251"/>
      <c r="M282" s="23">
        <f>SUM(M280,M281)</f>
        <v>0.93999110979404366</v>
      </c>
      <c r="N282" s="23">
        <f>SUM(N280,N281)</f>
        <v>0</v>
      </c>
      <c r="O282" s="23">
        <f>SUM(O280,O281)</f>
        <v>0</v>
      </c>
      <c r="P282" s="23">
        <f>SUM(P280,P281)</f>
        <v>0</v>
      </c>
      <c r="Q282" s="24">
        <f>SUM(Q280,Q281)</f>
        <v>0.93999110979404366</v>
      </c>
    </row>
    <row r="283" spans="2:17" ht="20.149999999999999" customHeight="1" x14ac:dyDescent="0.35">
      <c r="B283" s="252"/>
      <c r="C283" s="253"/>
      <c r="D283" s="266"/>
      <c r="E283" s="266"/>
      <c r="F283" s="266"/>
      <c r="G283" s="266"/>
      <c r="H283" s="254"/>
      <c r="I283" s="5"/>
      <c r="J283" s="5"/>
      <c r="K283" s="252"/>
      <c r="L283" s="253"/>
      <c r="M283" s="253"/>
      <c r="N283" s="253"/>
      <c r="O283" s="253"/>
      <c r="P283" s="253"/>
      <c r="Q283" s="254"/>
    </row>
    <row r="284" spans="2:17" ht="20.149999999999999" customHeight="1" x14ac:dyDescent="0.35">
      <c r="B284" s="255" t="s">
        <v>7</v>
      </c>
      <c r="C284" s="163" t="s">
        <v>11</v>
      </c>
      <c r="D284" s="168">
        <v>705</v>
      </c>
      <c r="E284" s="169">
        <v>0</v>
      </c>
      <c r="F284" s="168">
        <v>0</v>
      </c>
      <c r="G284" s="169">
        <v>0</v>
      </c>
      <c r="H284" s="164">
        <f>SUM(D284,E284,F284,G284)</f>
        <v>705</v>
      </c>
      <c r="I284" s="5"/>
      <c r="J284" s="5"/>
      <c r="K284" s="255" t="s">
        <v>7</v>
      </c>
      <c r="L284" s="12" t="s">
        <v>11</v>
      </c>
      <c r="M284" s="25">
        <f>D284/H288</f>
        <v>5.2229959994073198E-2</v>
      </c>
      <c r="N284" s="25">
        <f>E284/H288</f>
        <v>0</v>
      </c>
      <c r="O284" s="25">
        <f>F284/H288</f>
        <v>0</v>
      </c>
      <c r="P284" s="25">
        <f>G284/H288</f>
        <v>0</v>
      </c>
      <c r="Q284" s="25">
        <f>SUM(M284,N284,O284,P284)</f>
        <v>5.2229959994073198E-2</v>
      </c>
    </row>
    <row r="285" spans="2:17" ht="20.149999999999999" customHeight="1" x14ac:dyDescent="0.35">
      <c r="B285" s="256"/>
      <c r="C285" s="163" t="s">
        <v>12</v>
      </c>
      <c r="D285" s="168">
        <v>105</v>
      </c>
      <c r="E285" s="169">
        <v>0</v>
      </c>
      <c r="F285" s="168">
        <v>0</v>
      </c>
      <c r="G285" s="169">
        <v>0</v>
      </c>
      <c r="H285" s="164">
        <f>SUM(D285,E285,F285:G285)</f>
        <v>105</v>
      </c>
      <c r="I285" s="5"/>
      <c r="J285" s="5"/>
      <c r="K285" s="256"/>
      <c r="L285" s="12" t="s">
        <v>12</v>
      </c>
      <c r="M285" s="25">
        <f>D285/H288</f>
        <v>7.7789302118832417E-3</v>
      </c>
      <c r="N285" s="25">
        <f>E285/H288</f>
        <v>0</v>
      </c>
      <c r="O285" s="25">
        <f>F285/H288</f>
        <v>0</v>
      </c>
      <c r="P285" s="25">
        <f>G285/H288</f>
        <v>0</v>
      </c>
      <c r="Q285" s="25">
        <f>SUM(M285,N285,O285:P285)</f>
        <v>7.7789302118832417E-3</v>
      </c>
    </row>
    <row r="286" spans="2:17" ht="20.149999999999999" customHeight="1" x14ac:dyDescent="0.35">
      <c r="B286" s="238" t="s">
        <v>18</v>
      </c>
      <c r="C286" s="239"/>
      <c r="D286" s="165">
        <f>SUM(D284,D285)</f>
        <v>810</v>
      </c>
      <c r="E286" s="165">
        <f>SUM(E284,E285)</f>
        <v>0</v>
      </c>
      <c r="F286" s="165">
        <f>SUM(F284,F285)</f>
        <v>0</v>
      </c>
      <c r="G286" s="165">
        <f>SUM(G284,G285)</f>
        <v>0</v>
      </c>
      <c r="H286" s="9">
        <f>SUM(H284,H285)</f>
        <v>810</v>
      </c>
      <c r="I286" s="5"/>
      <c r="J286" s="5"/>
      <c r="K286" s="238" t="s">
        <v>18</v>
      </c>
      <c r="L286" s="239"/>
      <c r="M286" s="26">
        <f>SUM(M284,M285)</f>
        <v>6.0008890205956442E-2</v>
      </c>
      <c r="N286" s="26">
        <f>SUM(N284,N285)</f>
        <v>0</v>
      </c>
      <c r="O286" s="26">
        <f>SUM(O284,O285)</f>
        <v>0</v>
      </c>
      <c r="P286" s="26">
        <f>SUM(P284,P285)</f>
        <v>0</v>
      </c>
      <c r="Q286" s="189">
        <f>SUM(Q284,Q285)</f>
        <v>6.0008890205956442E-2</v>
      </c>
    </row>
    <row r="287" spans="2:17" ht="20.149999999999999" customHeight="1" thickBot="1" x14ac:dyDescent="0.4">
      <c r="B287" s="240"/>
      <c r="C287" s="241"/>
      <c r="D287" s="241"/>
      <c r="E287" s="241"/>
      <c r="F287" s="241"/>
      <c r="G287" s="241"/>
      <c r="H287" s="242"/>
      <c r="I287" s="5"/>
      <c r="J287" s="5"/>
      <c r="K287" s="240"/>
      <c r="L287" s="241"/>
      <c r="M287" s="241"/>
      <c r="N287" s="241"/>
      <c r="O287" s="241"/>
      <c r="P287" s="241"/>
      <c r="Q287" s="242"/>
    </row>
    <row r="288" spans="2:17" ht="20.149999999999999" customHeight="1" thickBot="1" x14ac:dyDescent="0.4">
      <c r="B288" s="243" t="s">
        <v>0</v>
      </c>
      <c r="C288" s="244"/>
      <c r="D288" s="16">
        <f>SUM(D282,D286)</f>
        <v>13498</v>
      </c>
      <c r="E288" s="16">
        <f>SUM(E282,E286)</f>
        <v>0</v>
      </c>
      <c r="F288" s="16">
        <f>SUM(F282,F286)</f>
        <v>0</v>
      </c>
      <c r="G288" s="16">
        <f>SUM(G282,G286)</f>
        <v>0</v>
      </c>
      <c r="H288" s="16">
        <f>SUM(H282,H286)</f>
        <v>13498</v>
      </c>
      <c r="I288" s="5"/>
      <c r="J288" s="5"/>
      <c r="K288" s="243" t="s">
        <v>0</v>
      </c>
      <c r="L288" s="244"/>
      <c r="M288" s="27">
        <f>SUM(M282,M286)</f>
        <v>1</v>
      </c>
      <c r="N288" s="27">
        <f>SUM(N282,N286)</f>
        <v>0</v>
      </c>
      <c r="O288" s="28">
        <f>SUM(O282,O286)</f>
        <v>0</v>
      </c>
      <c r="P288" s="28">
        <f>SUM(P282,P286)</f>
        <v>0</v>
      </c>
      <c r="Q288" s="18">
        <f>SUM(Q282,Q286)</f>
        <v>1</v>
      </c>
    </row>
    <row r="289" spans="2:17" ht="20.149999999999999" customHeight="1" x14ac:dyDescent="0.35">
      <c r="B289" s="232" t="s">
        <v>8</v>
      </c>
      <c r="C289" s="234" t="s">
        <v>15</v>
      </c>
      <c r="D289" s="235"/>
      <c r="E289" s="234" t="s">
        <v>16</v>
      </c>
      <c r="F289" s="235"/>
      <c r="G289" s="236" t="s">
        <v>1</v>
      </c>
      <c r="H289" s="237"/>
      <c r="I289" s="5"/>
      <c r="J289" s="5"/>
      <c r="K289" s="232" t="s">
        <v>8</v>
      </c>
      <c r="L289" s="234" t="s">
        <v>15</v>
      </c>
      <c r="M289" s="235"/>
      <c r="N289" s="234" t="s">
        <v>16</v>
      </c>
      <c r="O289" s="235"/>
      <c r="P289" s="236" t="s">
        <v>1</v>
      </c>
      <c r="Q289" s="237"/>
    </row>
    <row r="290" spans="2:17" ht="20.149999999999999" customHeight="1" x14ac:dyDescent="0.35">
      <c r="B290" s="233"/>
      <c r="C290" s="245">
        <f>SUM(H280,H284)</f>
        <v>11420</v>
      </c>
      <c r="D290" s="246"/>
      <c r="E290" s="245">
        <f>SUM(H281,H285)</f>
        <v>2078</v>
      </c>
      <c r="F290" s="246"/>
      <c r="G290" s="245">
        <f>SUM(H280,H281,H284,H285)</f>
        <v>13498</v>
      </c>
      <c r="H290" s="246"/>
      <c r="I290" s="5"/>
      <c r="J290" s="5"/>
      <c r="K290" s="233"/>
      <c r="L290" s="247">
        <f>SUM(Q280,Q284)</f>
        <v>0.84605126685434884</v>
      </c>
      <c r="M290" s="248"/>
      <c r="N290" s="247">
        <f>SUM(Q281,Q285)</f>
        <v>0.15394873314565122</v>
      </c>
      <c r="O290" s="248"/>
      <c r="P290" s="249">
        <f>SUM(Q280,Q281,Q284,Q285)</f>
        <v>1</v>
      </c>
      <c r="Q290" s="250"/>
    </row>
    <row r="291" spans="2:17" ht="20.149999999999999" customHeight="1" x14ac:dyDescent="0.35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spans="2:17" ht="20.149999999999999" customHeight="1" x14ac:dyDescent="0.35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 spans="2:17" ht="20.149999999999999" customHeight="1" x14ac:dyDescent="0.35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spans="2:17" ht="20.149999999999999" customHeight="1" x14ac:dyDescent="0.35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 spans="2:17" ht="20.149999999999999" customHeight="1" x14ac:dyDescent="0.3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spans="2:17" ht="20.149999999999999" customHeight="1" x14ac:dyDescent="0.35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 spans="2:17" ht="20.149999999999999" customHeight="1" x14ac:dyDescent="0.35">
      <c r="B297" s="5">
        <v>15</v>
      </c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spans="2:17" ht="20.149999999999999" customHeight="1" x14ac:dyDescent="0.35">
      <c r="B298" s="263" t="s">
        <v>127</v>
      </c>
      <c r="C298" s="258"/>
      <c r="D298" s="258"/>
      <c r="E298" s="258"/>
      <c r="F298" s="258"/>
      <c r="G298" s="258"/>
      <c r="H298" s="259"/>
      <c r="I298" s="5"/>
      <c r="J298" s="5"/>
      <c r="K298" s="263" t="s">
        <v>128</v>
      </c>
      <c r="L298" s="258"/>
      <c r="M298" s="258"/>
      <c r="N298" s="258"/>
      <c r="O298" s="258"/>
      <c r="P298" s="258"/>
      <c r="Q298" s="259"/>
    </row>
    <row r="299" spans="2:17" ht="20.149999999999999" customHeight="1" x14ac:dyDescent="0.35">
      <c r="B299" s="260"/>
      <c r="C299" s="261"/>
      <c r="D299" s="261"/>
      <c r="E299" s="261"/>
      <c r="F299" s="261"/>
      <c r="G299" s="261"/>
      <c r="H299" s="262"/>
      <c r="I299" s="5"/>
      <c r="J299" s="5"/>
      <c r="K299" s="260"/>
      <c r="L299" s="261"/>
      <c r="M299" s="261"/>
      <c r="N299" s="261"/>
      <c r="O299" s="261"/>
      <c r="P299" s="261"/>
      <c r="Q299" s="262"/>
    </row>
    <row r="300" spans="2:17" ht="20.149999999999999" customHeight="1" x14ac:dyDescent="0.35">
      <c r="B300" s="3" t="s">
        <v>14</v>
      </c>
      <c r="C300" s="6" t="s">
        <v>13</v>
      </c>
      <c r="D300" s="42" t="s">
        <v>3</v>
      </c>
      <c r="E300" s="42" t="s">
        <v>4</v>
      </c>
      <c r="F300" s="42" t="s">
        <v>10</v>
      </c>
      <c r="G300" s="42" t="s">
        <v>5</v>
      </c>
      <c r="H300" s="6" t="s">
        <v>1</v>
      </c>
      <c r="I300" s="5"/>
      <c r="J300" s="5"/>
      <c r="K300" s="3" t="s">
        <v>14</v>
      </c>
      <c r="L300" s="6" t="s">
        <v>13</v>
      </c>
      <c r="M300" s="6" t="s">
        <v>3</v>
      </c>
      <c r="N300" s="6" t="s">
        <v>4</v>
      </c>
      <c r="O300" s="6" t="s">
        <v>10</v>
      </c>
      <c r="P300" s="6" t="s">
        <v>5</v>
      </c>
      <c r="Q300" s="6" t="s">
        <v>1</v>
      </c>
    </row>
    <row r="301" spans="2:17" ht="20.149999999999999" customHeight="1" x14ac:dyDescent="0.35">
      <c r="B301" s="264" t="s">
        <v>6</v>
      </c>
      <c r="C301" s="160" t="s">
        <v>9</v>
      </c>
      <c r="D301" s="166">
        <v>4339</v>
      </c>
      <c r="E301" s="167">
        <v>598</v>
      </c>
      <c r="F301" s="166">
        <v>597</v>
      </c>
      <c r="G301" s="167">
        <v>0</v>
      </c>
      <c r="H301" s="161">
        <f>SUM(D301,E301,F301,G301)</f>
        <v>5534</v>
      </c>
      <c r="I301" s="5"/>
      <c r="J301" s="5"/>
      <c r="K301" s="264" t="s">
        <v>6</v>
      </c>
      <c r="L301" s="2" t="s">
        <v>9</v>
      </c>
      <c r="M301" s="22">
        <f>D301/H309</f>
        <v>0.58619292083220753</v>
      </c>
      <c r="N301" s="22">
        <f>E301/H309</f>
        <v>8.0788975952445288E-2</v>
      </c>
      <c r="O301" s="22">
        <f>F301/H309</f>
        <v>8.0653877330451235E-2</v>
      </c>
      <c r="P301" s="22">
        <f>G301/H309</f>
        <v>0</v>
      </c>
      <c r="Q301" s="22">
        <f>SUM(M301,N301,O301,P301)</f>
        <v>0.74763577411510407</v>
      </c>
    </row>
    <row r="302" spans="2:17" ht="20.149999999999999" customHeight="1" x14ac:dyDescent="0.35">
      <c r="B302" s="265"/>
      <c r="C302" s="160" t="s">
        <v>2</v>
      </c>
      <c r="D302" s="166">
        <v>964</v>
      </c>
      <c r="E302" s="167">
        <v>203</v>
      </c>
      <c r="F302" s="166">
        <v>531</v>
      </c>
      <c r="G302" s="167">
        <v>0</v>
      </c>
      <c r="H302" s="161">
        <f>SUM(D302,E302,F302,G302)</f>
        <v>1698</v>
      </c>
      <c r="I302" s="5"/>
      <c r="J302" s="5"/>
      <c r="K302" s="265"/>
      <c r="L302" s="2" t="s">
        <v>2</v>
      </c>
      <c r="M302" s="22">
        <f>D302/H309</f>
        <v>0.13023507160226966</v>
      </c>
      <c r="N302" s="22">
        <f>E302/H309</f>
        <v>2.74250202647933E-2</v>
      </c>
      <c r="O302" s="22">
        <f>F302/H309</f>
        <v>7.1737368278843555E-2</v>
      </c>
      <c r="P302" s="22">
        <f>G302/H309</f>
        <v>0</v>
      </c>
      <c r="Q302" s="22">
        <f>SUM(M302,N302,O302,P302)</f>
        <v>0.22939746014590651</v>
      </c>
    </row>
    <row r="303" spans="2:17" ht="20.149999999999999" customHeight="1" x14ac:dyDescent="0.35">
      <c r="B303" s="238" t="s">
        <v>17</v>
      </c>
      <c r="C303" s="251"/>
      <c r="D303" s="162">
        <f>SUM(D301,D302)</f>
        <v>5303</v>
      </c>
      <c r="E303" s="162">
        <f>SUM(E301,E302)</f>
        <v>801</v>
      </c>
      <c r="F303" s="162">
        <f>SUM(F301,F302)</f>
        <v>1128</v>
      </c>
      <c r="G303" s="162">
        <f>SUM(G301,G302)</f>
        <v>0</v>
      </c>
      <c r="H303" s="9">
        <f>SUM(H301,H302)</f>
        <v>7232</v>
      </c>
      <c r="I303" s="5"/>
      <c r="J303" s="5"/>
      <c r="K303" s="238" t="s">
        <v>17</v>
      </c>
      <c r="L303" s="251"/>
      <c r="M303" s="23">
        <f>SUM(M301,M302)</f>
        <v>0.71642799243447719</v>
      </c>
      <c r="N303" s="23">
        <f>SUM(N301,N302)</f>
        <v>0.10821399621723859</v>
      </c>
      <c r="O303" s="23">
        <f>SUM(O301,O302)</f>
        <v>0.15239124560929479</v>
      </c>
      <c r="P303" s="23">
        <f>SUM(P301,P302)</f>
        <v>0</v>
      </c>
      <c r="Q303" s="24">
        <f>SUM(Q301,Q302)</f>
        <v>0.97703323426101063</v>
      </c>
    </row>
    <row r="304" spans="2:17" ht="20.149999999999999" customHeight="1" x14ac:dyDescent="0.35">
      <c r="B304" s="252"/>
      <c r="C304" s="253"/>
      <c r="D304" s="266"/>
      <c r="E304" s="266"/>
      <c r="F304" s="266"/>
      <c r="G304" s="266"/>
      <c r="H304" s="254"/>
      <c r="I304" s="5"/>
      <c r="J304" s="5"/>
      <c r="K304" s="252"/>
      <c r="L304" s="253"/>
      <c r="M304" s="253"/>
      <c r="N304" s="253"/>
      <c r="O304" s="253"/>
      <c r="P304" s="253"/>
      <c r="Q304" s="254"/>
    </row>
    <row r="305" spans="2:17" ht="20.149999999999999" customHeight="1" x14ac:dyDescent="0.35">
      <c r="B305" s="255" t="s">
        <v>7</v>
      </c>
      <c r="C305" s="163" t="s">
        <v>11</v>
      </c>
      <c r="D305" s="168">
        <v>158</v>
      </c>
      <c r="E305" s="169">
        <v>0</v>
      </c>
      <c r="F305" s="168">
        <v>0</v>
      </c>
      <c r="G305" s="169">
        <v>0</v>
      </c>
      <c r="H305" s="164">
        <f>SUM(D305,E305,F305,G305)</f>
        <v>158</v>
      </c>
      <c r="I305" s="5"/>
      <c r="J305" s="5"/>
      <c r="K305" s="255" t="s">
        <v>7</v>
      </c>
      <c r="L305" s="12" t="s">
        <v>11</v>
      </c>
      <c r="M305" s="25">
        <f>D305/H309</f>
        <v>2.1345582275060795E-2</v>
      </c>
      <c r="N305" s="25">
        <f>E305/H309</f>
        <v>0</v>
      </c>
      <c r="O305" s="25">
        <f>F305/H309</f>
        <v>0</v>
      </c>
      <c r="P305" s="25">
        <f>G305/H309</f>
        <v>0</v>
      </c>
      <c r="Q305" s="25">
        <f>SUM(M305,N305,O305,P305)</f>
        <v>2.1345582275060795E-2</v>
      </c>
    </row>
    <row r="306" spans="2:17" ht="20.149999999999999" customHeight="1" x14ac:dyDescent="0.35">
      <c r="B306" s="256"/>
      <c r="C306" s="163" t="s">
        <v>12</v>
      </c>
      <c r="D306" s="168">
        <v>12</v>
      </c>
      <c r="E306" s="169">
        <v>0</v>
      </c>
      <c r="F306" s="168">
        <v>0</v>
      </c>
      <c r="G306" s="169">
        <v>0</v>
      </c>
      <c r="H306" s="164">
        <f>SUM(D306,E306,F306:G306)</f>
        <v>12</v>
      </c>
      <c r="I306" s="5"/>
      <c r="J306" s="5"/>
      <c r="K306" s="256"/>
      <c r="L306" s="12" t="s">
        <v>12</v>
      </c>
      <c r="M306" s="25">
        <f>D306/H309</f>
        <v>1.6211834639286678E-3</v>
      </c>
      <c r="N306" s="25">
        <f>E306/H309</f>
        <v>0</v>
      </c>
      <c r="O306" s="25">
        <f>F306/H309</f>
        <v>0</v>
      </c>
      <c r="P306" s="25">
        <f>G306/H309</f>
        <v>0</v>
      </c>
      <c r="Q306" s="25">
        <f>SUM(M306,N306,O306:P306)</f>
        <v>1.6211834639286678E-3</v>
      </c>
    </row>
    <row r="307" spans="2:17" ht="20.149999999999999" customHeight="1" x14ac:dyDescent="0.35">
      <c r="B307" s="238" t="s">
        <v>18</v>
      </c>
      <c r="C307" s="239"/>
      <c r="D307" s="165">
        <f>SUM(D305,D306)</f>
        <v>170</v>
      </c>
      <c r="E307" s="165">
        <f>SUM(E305,E306)</f>
        <v>0</v>
      </c>
      <c r="F307" s="165">
        <f>SUM(F305,F306)</f>
        <v>0</v>
      </c>
      <c r="G307" s="165">
        <f>SUM(G305,G306)</f>
        <v>0</v>
      </c>
      <c r="H307" s="9">
        <f>SUM(H305,H306)</f>
        <v>170</v>
      </c>
      <c r="I307" s="5"/>
      <c r="J307" s="5"/>
      <c r="K307" s="238" t="s">
        <v>18</v>
      </c>
      <c r="L307" s="239"/>
      <c r="M307" s="26">
        <f>SUM(M305,M306)</f>
        <v>2.2966765738989463E-2</v>
      </c>
      <c r="N307" s="26">
        <f>SUM(N305,N306)</f>
        <v>0</v>
      </c>
      <c r="O307" s="26">
        <f>SUM(O305,O306)</f>
        <v>0</v>
      </c>
      <c r="P307" s="26">
        <f>SUM(P305,P306)</f>
        <v>0</v>
      </c>
      <c r="Q307" s="24">
        <f>SUM(Q305,Q306)</f>
        <v>2.2966765738989463E-2</v>
      </c>
    </row>
    <row r="308" spans="2:17" ht="20.149999999999999" customHeight="1" thickBot="1" x14ac:dyDescent="0.4">
      <c r="B308" s="240"/>
      <c r="C308" s="241"/>
      <c r="D308" s="241"/>
      <c r="E308" s="241"/>
      <c r="F308" s="241"/>
      <c r="G308" s="241"/>
      <c r="H308" s="242"/>
      <c r="I308" s="5"/>
      <c r="J308" s="5"/>
      <c r="K308" s="240"/>
      <c r="L308" s="241"/>
      <c r="M308" s="241"/>
      <c r="N308" s="241"/>
      <c r="O308" s="241"/>
      <c r="P308" s="241"/>
      <c r="Q308" s="242"/>
    </row>
    <row r="309" spans="2:17" ht="20.149999999999999" customHeight="1" thickBot="1" x14ac:dyDescent="0.4">
      <c r="B309" s="243" t="s">
        <v>0</v>
      </c>
      <c r="C309" s="244"/>
      <c r="D309" s="16">
        <f>SUM(D303,D307)</f>
        <v>5473</v>
      </c>
      <c r="E309" s="16">
        <f>SUM(E303,E307)</f>
        <v>801</v>
      </c>
      <c r="F309" s="16">
        <f>SUM(F303,F307)</f>
        <v>1128</v>
      </c>
      <c r="G309" s="16">
        <f>SUM(G303,G307)</f>
        <v>0</v>
      </c>
      <c r="H309" s="16">
        <f>SUM(H303,H307)</f>
        <v>7402</v>
      </c>
      <c r="I309" s="5"/>
      <c r="J309" s="5"/>
      <c r="K309" s="243" t="s">
        <v>0</v>
      </c>
      <c r="L309" s="244"/>
      <c r="M309" s="27">
        <f>SUM(M303,M307)</f>
        <v>0.73939475817346667</v>
      </c>
      <c r="N309" s="27">
        <f>SUM(N303,N307)</f>
        <v>0.10821399621723859</v>
      </c>
      <c r="O309" s="28">
        <f>SUM(O303,O307)</f>
        <v>0.15239124560929479</v>
      </c>
      <c r="P309" s="28">
        <f>SUM(P303,P307)</f>
        <v>0</v>
      </c>
      <c r="Q309" s="18">
        <f>SUM(Q303,Q307)</f>
        <v>1</v>
      </c>
    </row>
    <row r="310" spans="2:17" ht="20.149999999999999" customHeight="1" x14ac:dyDescent="0.35">
      <c r="B310" s="232" t="s">
        <v>8</v>
      </c>
      <c r="C310" s="234" t="s">
        <v>15</v>
      </c>
      <c r="D310" s="235"/>
      <c r="E310" s="234" t="s">
        <v>16</v>
      </c>
      <c r="F310" s="235"/>
      <c r="G310" s="236" t="s">
        <v>1</v>
      </c>
      <c r="H310" s="237"/>
      <c r="I310" s="5"/>
      <c r="J310" s="5"/>
      <c r="K310" s="232" t="s">
        <v>8</v>
      </c>
      <c r="L310" s="234" t="s">
        <v>15</v>
      </c>
      <c r="M310" s="235"/>
      <c r="N310" s="234" t="s">
        <v>16</v>
      </c>
      <c r="O310" s="235"/>
      <c r="P310" s="236" t="s">
        <v>1</v>
      </c>
      <c r="Q310" s="237"/>
    </row>
    <row r="311" spans="2:17" ht="20.149999999999999" customHeight="1" x14ac:dyDescent="0.35">
      <c r="B311" s="233"/>
      <c r="C311" s="245">
        <f>SUM(H301,H305)</f>
        <v>5692</v>
      </c>
      <c r="D311" s="246"/>
      <c r="E311" s="245">
        <f>SUM(H302,H306)</f>
        <v>1710</v>
      </c>
      <c r="F311" s="246"/>
      <c r="G311" s="245">
        <f>SUM(H301,H302,H305,H306)</f>
        <v>7402</v>
      </c>
      <c r="H311" s="246"/>
      <c r="I311" s="5"/>
      <c r="J311" s="5"/>
      <c r="K311" s="233"/>
      <c r="L311" s="247">
        <f>SUM(Q301,Q305)</f>
        <v>0.76898135639016485</v>
      </c>
      <c r="M311" s="248"/>
      <c r="N311" s="247">
        <f>SUM(Q302,Q306)</f>
        <v>0.23101864360983518</v>
      </c>
      <c r="O311" s="248"/>
      <c r="P311" s="249">
        <f>SUM(Q301,Q302,Q305,Q306)</f>
        <v>1</v>
      </c>
      <c r="Q311" s="250"/>
    </row>
    <row r="312" spans="2:17" ht="20.149999999999999" customHeight="1" x14ac:dyDescent="0.35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spans="2:17" ht="20.149999999999999" customHeight="1" x14ac:dyDescent="0.35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spans="2:17" ht="20.149999999999999" customHeight="1" x14ac:dyDescent="0.35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spans="2:17" ht="20.149999999999999" customHeight="1" x14ac:dyDescent="0.3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spans="2:17" ht="20.149999999999999" customHeight="1" x14ac:dyDescent="0.35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spans="2:17" ht="20.149999999999999" customHeight="1" x14ac:dyDescent="0.35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 spans="2:17" ht="20.149999999999999" customHeight="1" x14ac:dyDescent="0.35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 spans="2:17" ht="20.149999999999999" customHeight="1" x14ac:dyDescent="0.35">
      <c r="B319" s="5">
        <v>16</v>
      </c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spans="2:17" ht="20.149999999999999" customHeight="1" x14ac:dyDescent="0.35">
      <c r="B320" s="263" t="s">
        <v>129</v>
      </c>
      <c r="C320" s="258"/>
      <c r="D320" s="258"/>
      <c r="E320" s="258"/>
      <c r="F320" s="258"/>
      <c r="G320" s="258"/>
      <c r="H320" s="259"/>
      <c r="I320" s="5"/>
      <c r="J320" s="5"/>
      <c r="K320" s="263" t="s">
        <v>130</v>
      </c>
      <c r="L320" s="258"/>
      <c r="M320" s="258"/>
      <c r="N320" s="258"/>
      <c r="O320" s="258"/>
      <c r="P320" s="258"/>
      <c r="Q320" s="259"/>
    </row>
    <row r="321" spans="2:17" ht="20.149999999999999" customHeight="1" x14ac:dyDescent="0.35">
      <c r="B321" s="260"/>
      <c r="C321" s="261"/>
      <c r="D321" s="261"/>
      <c r="E321" s="261"/>
      <c r="F321" s="261"/>
      <c r="G321" s="261"/>
      <c r="H321" s="262"/>
      <c r="I321" s="5"/>
      <c r="J321" s="5"/>
      <c r="K321" s="260"/>
      <c r="L321" s="261"/>
      <c r="M321" s="261"/>
      <c r="N321" s="261"/>
      <c r="O321" s="261"/>
      <c r="P321" s="261"/>
      <c r="Q321" s="262"/>
    </row>
    <row r="322" spans="2:17" ht="20.149999999999999" customHeight="1" x14ac:dyDescent="0.35">
      <c r="B322" s="3" t="s">
        <v>14</v>
      </c>
      <c r="C322" s="6" t="s">
        <v>13</v>
      </c>
      <c r="D322" s="42" t="s">
        <v>3</v>
      </c>
      <c r="E322" s="42" t="s">
        <v>4</v>
      </c>
      <c r="F322" s="42" t="s">
        <v>10</v>
      </c>
      <c r="G322" s="42" t="s">
        <v>5</v>
      </c>
      <c r="H322" s="6" t="s">
        <v>1</v>
      </c>
      <c r="I322" s="5"/>
      <c r="J322" s="5"/>
      <c r="K322" s="3" t="s">
        <v>14</v>
      </c>
      <c r="L322" s="6" t="s">
        <v>13</v>
      </c>
      <c r="M322" s="6" t="s">
        <v>3</v>
      </c>
      <c r="N322" s="6" t="s">
        <v>4</v>
      </c>
      <c r="O322" s="6" t="s">
        <v>10</v>
      </c>
      <c r="P322" s="6" t="s">
        <v>5</v>
      </c>
      <c r="Q322" s="6" t="s">
        <v>1</v>
      </c>
    </row>
    <row r="323" spans="2:17" ht="20.149999999999999" customHeight="1" x14ac:dyDescent="0.35">
      <c r="B323" s="264" t="s">
        <v>6</v>
      </c>
      <c r="C323" s="160" t="s">
        <v>9</v>
      </c>
      <c r="D323" s="166">
        <v>20386</v>
      </c>
      <c r="E323" s="167">
        <v>3472</v>
      </c>
      <c r="F323" s="166">
        <v>84</v>
      </c>
      <c r="G323" s="167">
        <v>0</v>
      </c>
      <c r="H323" s="161">
        <f>SUM(D323,E323,F323,G323)</f>
        <v>23942</v>
      </c>
      <c r="I323" s="5"/>
      <c r="J323" s="5"/>
      <c r="K323" s="264" t="s">
        <v>6</v>
      </c>
      <c r="L323" s="2" t="s">
        <v>9</v>
      </c>
      <c r="M323" s="22">
        <f>D323/H331</f>
        <v>0.52098134423715814</v>
      </c>
      <c r="N323" s="22">
        <f>E323/H331</f>
        <v>8.87298747763864E-2</v>
      </c>
      <c r="O323" s="22">
        <f>F323/H331</f>
        <v>2.1466905187835419E-3</v>
      </c>
      <c r="P323" s="22">
        <f>G323/H331</f>
        <v>0</v>
      </c>
      <c r="Q323" s="22">
        <f>SUM(M323,N323,O323,P323)</f>
        <v>0.6118579095323281</v>
      </c>
    </row>
    <row r="324" spans="2:17" ht="20.149999999999999" customHeight="1" x14ac:dyDescent="0.35">
      <c r="B324" s="265"/>
      <c r="C324" s="160" t="s">
        <v>2</v>
      </c>
      <c r="D324" s="166">
        <v>10175</v>
      </c>
      <c r="E324" s="167">
        <v>1984</v>
      </c>
      <c r="F324" s="166">
        <v>1595</v>
      </c>
      <c r="G324" s="167">
        <v>0</v>
      </c>
      <c r="H324" s="161">
        <f>SUM(D324,E324,F324,G324)</f>
        <v>13754</v>
      </c>
      <c r="I324" s="5"/>
      <c r="J324" s="5"/>
      <c r="K324" s="265"/>
      <c r="L324" s="2" t="s">
        <v>2</v>
      </c>
      <c r="M324" s="22">
        <f>D324/H331</f>
        <v>0.26003066700741118</v>
      </c>
      <c r="N324" s="22">
        <f>E324/H331</f>
        <v>5.0702785586506517E-2</v>
      </c>
      <c r="O324" s="22">
        <f>F324/H331</f>
        <v>4.0761564017377974E-2</v>
      </c>
      <c r="P324" s="22">
        <f>G324/H331</f>
        <v>0</v>
      </c>
      <c r="Q324" s="22">
        <f>SUM(M324,N324,O324,P324)</f>
        <v>0.35149501661129567</v>
      </c>
    </row>
    <row r="325" spans="2:17" ht="20.149999999999999" customHeight="1" x14ac:dyDescent="0.35">
      <c r="B325" s="238" t="s">
        <v>17</v>
      </c>
      <c r="C325" s="251"/>
      <c r="D325" s="162">
        <f>SUM(D323,D324)</f>
        <v>30561</v>
      </c>
      <c r="E325" s="162">
        <f>SUM(E323,E324)</f>
        <v>5456</v>
      </c>
      <c r="F325" s="162">
        <f>SUM(F323,F324)</f>
        <v>1679</v>
      </c>
      <c r="G325" s="162">
        <f>SUM(G323,G324)</f>
        <v>0</v>
      </c>
      <c r="H325" s="9">
        <f>SUM(H323,H324)</f>
        <v>37696</v>
      </c>
      <c r="I325" s="5"/>
      <c r="J325" s="5"/>
      <c r="K325" s="238" t="s">
        <v>17</v>
      </c>
      <c r="L325" s="251"/>
      <c r="M325" s="23">
        <f>SUM(M323,M324)</f>
        <v>0.78101201124456932</v>
      </c>
      <c r="N325" s="23">
        <f>SUM(N323,N324)</f>
        <v>0.13943266036289292</v>
      </c>
      <c r="O325" s="23">
        <f>SUM(O323,O324)</f>
        <v>4.2908254536161518E-2</v>
      </c>
      <c r="P325" s="23">
        <f>SUM(P323,P324)</f>
        <v>0</v>
      </c>
      <c r="Q325" s="24">
        <f>SUM(Q323,Q324)</f>
        <v>0.96335292614362378</v>
      </c>
    </row>
    <row r="326" spans="2:17" ht="20.149999999999999" customHeight="1" x14ac:dyDescent="0.35">
      <c r="B326" s="252"/>
      <c r="C326" s="253"/>
      <c r="D326" s="266"/>
      <c r="E326" s="266"/>
      <c r="F326" s="266"/>
      <c r="G326" s="266"/>
      <c r="H326" s="254"/>
      <c r="I326" s="5"/>
      <c r="J326" s="5"/>
      <c r="K326" s="252"/>
      <c r="L326" s="253"/>
      <c r="M326" s="253"/>
      <c r="N326" s="253"/>
      <c r="O326" s="253"/>
      <c r="P326" s="253"/>
      <c r="Q326" s="254"/>
    </row>
    <row r="327" spans="2:17" ht="20.149999999999999" customHeight="1" x14ac:dyDescent="0.35">
      <c r="B327" s="255" t="s">
        <v>7</v>
      </c>
      <c r="C327" s="163" t="s">
        <v>11</v>
      </c>
      <c r="D327" s="168">
        <v>975</v>
      </c>
      <c r="E327" s="169">
        <v>122</v>
      </c>
      <c r="F327" s="168">
        <v>0</v>
      </c>
      <c r="G327" s="169">
        <v>0</v>
      </c>
      <c r="H327" s="164">
        <f>SUM(D327,E327,F327,G327)</f>
        <v>1097</v>
      </c>
      <c r="I327" s="5"/>
      <c r="J327" s="5"/>
      <c r="K327" s="255" t="s">
        <v>7</v>
      </c>
      <c r="L327" s="12" t="s">
        <v>11</v>
      </c>
      <c r="M327" s="25">
        <f>D327/H331</f>
        <v>2.4916943521594685E-2</v>
      </c>
      <c r="N327" s="25">
        <f>E327/H331</f>
        <v>3.1178124201380014E-3</v>
      </c>
      <c r="O327" s="25">
        <f>F327/H331</f>
        <v>0</v>
      </c>
      <c r="P327" s="25">
        <f>G327/H331</f>
        <v>0</v>
      </c>
      <c r="Q327" s="25">
        <f>SUM(M327,N327,O327,P327)</f>
        <v>2.8034755941732686E-2</v>
      </c>
    </row>
    <row r="328" spans="2:17" ht="20.149999999999999" customHeight="1" x14ac:dyDescent="0.35">
      <c r="B328" s="256"/>
      <c r="C328" s="163" t="s">
        <v>12</v>
      </c>
      <c r="D328" s="168">
        <v>269</v>
      </c>
      <c r="E328" s="169">
        <v>66</v>
      </c>
      <c r="F328" s="168">
        <v>2</v>
      </c>
      <c r="G328" s="169">
        <v>0</v>
      </c>
      <c r="H328" s="164">
        <f>SUM(D328,E328,F328:G328)</f>
        <v>337</v>
      </c>
      <c r="I328" s="5"/>
      <c r="J328" s="5"/>
      <c r="K328" s="256"/>
      <c r="L328" s="12" t="s">
        <v>12</v>
      </c>
      <c r="M328" s="25">
        <f>D328/H331</f>
        <v>6.8745208280091997E-3</v>
      </c>
      <c r="N328" s="25">
        <f>E328/H331</f>
        <v>1.6866854076156401E-3</v>
      </c>
      <c r="O328" s="25">
        <f>F328/H331</f>
        <v>5.1111679018655762E-5</v>
      </c>
      <c r="P328" s="25">
        <f>G328/H331</f>
        <v>0</v>
      </c>
      <c r="Q328" s="25">
        <f>SUM(M328,N328,O328:P328)</f>
        <v>8.6123179146434942E-3</v>
      </c>
    </row>
    <row r="329" spans="2:17" ht="20.149999999999999" customHeight="1" x14ac:dyDescent="0.35">
      <c r="B329" s="238" t="s">
        <v>18</v>
      </c>
      <c r="C329" s="239"/>
      <c r="D329" s="165">
        <f>SUM(D327,D328)</f>
        <v>1244</v>
      </c>
      <c r="E329" s="165">
        <f>SUM(E327,E328)</f>
        <v>188</v>
      </c>
      <c r="F329" s="165">
        <f>SUM(F327,F328)</f>
        <v>2</v>
      </c>
      <c r="G329" s="165">
        <f>SUM(G327,G328)</f>
        <v>0</v>
      </c>
      <c r="H329" s="9">
        <f>SUM(H327,H328)</f>
        <v>1434</v>
      </c>
      <c r="I329" s="5"/>
      <c r="J329" s="5"/>
      <c r="K329" s="238" t="s">
        <v>18</v>
      </c>
      <c r="L329" s="239"/>
      <c r="M329" s="26">
        <f>SUM(M327,M328)</f>
        <v>3.1791464349603886E-2</v>
      </c>
      <c r="N329" s="26">
        <f>SUM(N327,N328)</f>
        <v>4.8044978277536413E-3</v>
      </c>
      <c r="O329" s="26">
        <f>SUM(O327,O328)</f>
        <v>5.1111679018655762E-5</v>
      </c>
      <c r="P329" s="26">
        <f>SUM(P327,P328)</f>
        <v>0</v>
      </c>
      <c r="Q329" s="11">
        <f>SUM(Q327,Q328)</f>
        <v>3.6647073856376181E-2</v>
      </c>
    </row>
    <row r="330" spans="2:17" ht="20.149999999999999" customHeight="1" thickBot="1" x14ac:dyDescent="0.4">
      <c r="B330" s="240"/>
      <c r="C330" s="241"/>
      <c r="D330" s="241"/>
      <c r="E330" s="241"/>
      <c r="F330" s="241"/>
      <c r="G330" s="241"/>
      <c r="H330" s="242"/>
      <c r="I330" s="5"/>
      <c r="J330" s="5"/>
      <c r="K330" s="240"/>
      <c r="L330" s="241"/>
      <c r="M330" s="241"/>
      <c r="N330" s="241"/>
      <c r="O330" s="241"/>
      <c r="P330" s="241"/>
      <c r="Q330" s="242"/>
    </row>
    <row r="331" spans="2:17" ht="20.149999999999999" customHeight="1" thickBot="1" x14ac:dyDescent="0.4">
      <c r="B331" s="243" t="s">
        <v>0</v>
      </c>
      <c r="C331" s="244"/>
      <c r="D331" s="16">
        <f>SUM(D325,D329)</f>
        <v>31805</v>
      </c>
      <c r="E331" s="16">
        <f>SUM(E325,E329)</f>
        <v>5644</v>
      </c>
      <c r="F331" s="16">
        <f>SUM(F325,F329)</f>
        <v>1681</v>
      </c>
      <c r="G331" s="16">
        <f>SUM(G325,G329)</f>
        <v>0</v>
      </c>
      <c r="H331" s="16">
        <f>SUM(H325,H329)</f>
        <v>39130</v>
      </c>
      <c r="I331" s="5"/>
      <c r="J331" s="5"/>
      <c r="K331" s="243" t="s">
        <v>0</v>
      </c>
      <c r="L331" s="244"/>
      <c r="M331" s="27">
        <f>SUM(M325,M329)</f>
        <v>0.81280347559417321</v>
      </c>
      <c r="N331" s="27">
        <f>SUM(N325,N329)</f>
        <v>0.14423715819064656</v>
      </c>
      <c r="O331" s="28">
        <f>SUM(O325,O329)</f>
        <v>4.2959366215180171E-2</v>
      </c>
      <c r="P331" s="28">
        <f>SUM(P325,P329)</f>
        <v>0</v>
      </c>
      <c r="Q331" s="18">
        <f>SUM(Q325,Q329)</f>
        <v>1</v>
      </c>
    </row>
    <row r="332" spans="2:17" ht="20.149999999999999" customHeight="1" x14ac:dyDescent="0.35">
      <c r="B332" s="232" t="s">
        <v>8</v>
      </c>
      <c r="C332" s="234" t="s">
        <v>15</v>
      </c>
      <c r="D332" s="235"/>
      <c r="E332" s="234" t="s">
        <v>16</v>
      </c>
      <c r="F332" s="235"/>
      <c r="G332" s="236" t="s">
        <v>1</v>
      </c>
      <c r="H332" s="237"/>
      <c r="I332" s="5"/>
      <c r="J332" s="5"/>
      <c r="K332" s="232" t="s">
        <v>8</v>
      </c>
      <c r="L332" s="234" t="s">
        <v>15</v>
      </c>
      <c r="M332" s="235"/>
      <c r="N332" s="234" t="s">
        <v>16</v>
      </c>
      <c r="O332" s="235"/>
      <c r="P332" s="236" t="s">
        <v>1</v>
      </c>
      <c r="Q332" s="237"/>
    </row>
    <row r="333" spans="2:17" ht="20.149999999999999" customHeight="1" x14ac:dyDescent="0.35">
      <c r="B333" s="233"/>
      <c r="C333" s="245">
        <f>SUM(H323,H327)</f>
        <v>25039</v>
      </c>
      <c r="D333" s="246"/>
      <c r="E333" s="245">
        <f>SUM(H324,H328)</f>
        <v>14091</v>
      </c>
      <c r="F333" s="246"/>
      <c r="G333" s="245">
        <f>SUM(H323,H324,H327,H328)</f>
        <v>39130</v>
      </c>
      <c r="H333" s="246"/>
      <c r="I333" s="5"/>
      <c r="J333" s="5"/>
      <c r="K333" s="233"/>
      <c r="L333" s="247">
        <f>SUM(Q323,Q327)</f>
        <v>0.63989266547406076</v>
      </c>
      <c r="M333" s="248"/>
      <c r="N333" s="247">
        <f>SUM(Q324,Q328)</f>
        <v>0.36010733452593918</v>
      </c>
      <c r="O333" s="248"/>
      <c r="P333" s="249">
        <f>SUM(Q323,Q324,Q327,Q328)</f>
        <v>0.99999999999999989</v>
      </c>
      <c r="Q333" s="250"/>
    </row>
    <row r="334" spans="2:17" ht="20.149999999999999" customHeight="1" x14ac:dyDescent="0.35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 spans="2:17" ht="20.149999999999999" customHeight="1" x14ac:dyDescent="0.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 spans="2:17" ht="20.149999999999999" customHeight="1" x14ac:dyDescent="0.35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 spans="2:17" ht="20.149999999999999" customHeight="1" x14ac:dyDescent="0.35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 spans="2:17" ht="20.149999999999999" customHeight="1" x14ac:dyDescent="0.35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 spans="2:17" ht="20.149999999999999" customHeight="1" x14ac:dyDescent="0.35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spans="2:17" ht="20.149999999999999" customHeight="1" x14ac:dyDescent="0.35">
      <c r="B340" s="5">
        <v>17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 spans="2:17" ht="20.149999999999999" customHeight="1" x14ac:dyDescent="0.35">
      <c r="B341" s="263" t="s">
        <v>131</v>
      </c>
      <c r="C341" s="258"/>
      <c r="D341" s="258"/>
      <c r="E341" s="258"/>
      <c r="F341" s="258"/>
      <c r="G341" s="258"/>
      <c r="H341" s="259"/>
      <c r="I341" s="5"/>
      <c r="J341" s="5"/>
      <c r="K341" s="263" t="s">
        <v>132</v>
      </c>
      <c r="L341" s="258"/>
      <c r="M341" s="258"/>
      <c r="N341" s="258"/>
      <c r="O341" s="258"/>
      <c r="P341" s="258"/>
      <c r="Q341" s="259"/>
    </row>
    <row r="342" spans="2:17" ht="20.149999999999999" customHeight="1" x14ac:dyDescent="0.35">
      <c r="B342" s="260"/>
      <c r="C342" s="261"/>
      <c r="D342" s="261"/>
      <c r="E342" s="261"/>
      <c r="F342" s="261"/>
      <c r="G342" s="261"/>
      <c r="H342" s="262"/>
      <c r="I342" s="5"/>
      <c r="J342" s="5"/>
      <c r="K342" s="260"/>
      <c r="L342" s="261"/>
      <c r="M342" s="261"/>
      <c r="N342" s="261"/>
      <c r="O342" s="261"/>
      <c r="P342" s="261"/>
      <c r="Q342" s="262"/>
    </row>
    <row r="343" spans="2:17" ht="20.149999999999999" customHeight="1" x14ac:dyDescent="0.35">
      <c r="B343" s="3" t="s">
        <v>14</v>
      </c>
      <c r="C343" s="6" t="s">
        <v>13</v>
      </c>
      <c r="D343" s="42" t="s">
        <v>3</v>
      </c>
      <c r="E343" s="42" t="s">
        <v>4</v>
      </c>
      <c r="F343" s="42" t="s">
        <v>10</v>
      </c>
      <c r="G343" s="42" t="s">
        <v>5</v>
      </c>
      <c r="H343" s="6" t="s">
        <v>1</v>
      </c>
      <c r="I343" s="5"/>
      <c r="J343" s="5"/>
      <c r="K343" s="3" t="s">
        <v>14</v>
      </c>
      <c r="L343" s="6" t="s">
        <v>13</v>
      </c>
      <c r="M343" s="6" t="s">
        <v>3</v>
      </c>
      <c r="N343" s="6" t="s">
        <v>4</v>
      </c>
      <c r="O343" s="6" t="s">
        <v>10</v>
      </c>
      <c r="P343" s="6" t="s">
        <v>5</v>
      </c>
      <c r="Q343" s="6" t="s">
        <v>1</v>
      </c>
    </row>
    <row r="344" spans="2:17" ht="20.149999999999999" customHeight="1" x14ac:dyDescent="0.35">
      <c r="B344" s="264" t="s">
        <v>6</v>
      </c>
      <c r="C344" s="160" t="s">
        <v>9</v>
      </c>
      <c r="D344" s="166">
        <v>19637</v>
      </c>
      <c r="E344" s="167">
        <v>9396</v>
      </c>
      <c r="F344" s="166">
        <v>252</v>
      </c>
      <c r="G344" s="167">
        <v>11</v>
      </c>
      <c r="H344" s="161">
        <f>SUM(D344,E344,F344,G344)</f>
        <v>29296</v>
      </c>
      <c r="I344" s="5"/>
      <c r="J344" s="5"/>
      <c r="K344" s="264" t="s">
        <v>6</v>
      </c>
      <c r="L344" s="2" t="s">
        <v>9</v>
      </c>
      <c r="M344" s="7">
        <f>D344/H352</f>
        <v>0.31381542149420694</v>
      </c>
      <c r="N344" s="7">
        <f>E344/H352</f>
        <v>0.15015581302437075</v>
      </c>
      <c r="O344" s="7">
        <f>F344/H352</f>
        <v>4.0271673991210547E-3</v>
      </c>
      <c r="P344" s="7">
        <f>G344/H352</f>
        <v>1.7578905313623652E-4</v>
      </c>
      <c r="Q344" s="7">
        <f>SUM(M344,N344,O344,P344)</f>
        <v>0.46817419097083501</v>
      </c>
    </row>
    <row r="345" spans="2:17" ht="20.149999999999999" customHeight="1" x14ac:dyDescent="0.35">
      <c r="B345" s="265"/>
      <c r="C345" s="160" t="s">
        <v>2</v>
      </c>
      <c r="D345" s="166">
        <v>12889</v>
      </c>
      <c r="E345" s="167">
        <v>14484</v>
      </c>
      <c r="F345" s="166">
        <v>377</v>
      </c>
      <c r="G345" s="167">
        <v>0</v>
      </c>
      <c r="H345" s="161">
        <f>SUM(D345,E345,F345,G345)</f>
        <v>27750</v>
      </c>
      <c r="I345" s="5"/>
      <c r="J345" s="5"/>
      <c r="K345" s="265"/>
      <c r="L345" s="2" t="s">
        <v>2</v>
      </c>
      <c r="M345" s="7">
        <f>D345/H352</f>
        <v>0.20597682780663204</v>
      </c>
      <c r="N345" s="7">
        <f>E345/H352</f>
        <v>0.23146624051138634</v>
      </c>
      <c r="O345" s="7">
        <f>F345/H352</f>
        <v>6.0247702756691971E-3</v>
      </c>
      <c r="P345" s="7">
        <f>G345/H352</f>
        <v>0</v>
      </c>
      <c r="Q345" s="7">
        <f>SUM(M345,N345,O345,P345)</f>
        <v>0.4434678385936876</v>
      </c>
    </row>
    <row r="346" spans="2:17" ht="20.149999999999999" customHeight="1" x14ac:dyDescent="0.35">
      <c r="B346" s="238" t="s">
        <v>17</v>
      </c>
      <c r="C346" s="251"/>
      <c r="D346" s="162">
        <f>SUM(D344,D345)</f>
        <v>32526</v>
      </c>
      <c r="E346" s="162">
        <f>SUM(E344,E345)</f>
        <v>23880</v>
      </c>
      <c r="F346" s="162">
        <f>SUM(F344,F345)</f>
        <v>629</v>
      </c>
      <c r="G346" s="162">
        <f>SUM(G344,G345)</f>
        <v>11</v>
      </c>
      <c r="H346" s="9">
        <f>SUM(H344,H345)</f>
        <v>57046</v>
      </c>
      <c r="I346" s="5"/>
      <c r="J346" s="5"/>
      <c r="K346" s="238" t="s">
        <v>17</v>
      </c>
      <c r="L346" s="251"/>
      <c r="M346" s="10">
        <f>SUM(M344,M345)</f>
        <v>0.519792249300839</v>
      </c>
      <c r="N346" s="10">
        <f>SUM(N344,N345)</f>
        <v>0.38162205353575707</v>
      </c>
      <c r="O346" s="10">
        <f>SUM(O344,O345)</f>
        <v>1.0051937674790252E-2</v>
      </c>
      <c r="P346" s="10">
        <f>SUM(P344,P345)</f>
        <v>1.7578905313623652E-4</v>
      </c>
      <c r="Q346" s="11">
        <f>SUM(Q344,Q345)</f>
        <v>0.91164202956452267</v>
      </c>
    </row>
    <row r="347" spans="2:17" ht="20.149999999999999" customHeight="1" x14ac:dyDescent="0.35">
      <c r="B347" s="252"/>
      <c r="C347" s="253"/>
      <c r="D347" s="266"/>
      <c r="E347" s="266"/>
      <c r="F347" s="266"/>
      <c r="G347" s="266"/>
      <c r="H347" s="254"/>
      <c r="I347" s="5"/>
      <c r="J347" s="5"/>
      <c r="K347" s="252"/>
      <c r="L347" s="253"/>
      <c r="M347" s="253"/>
      <c r="N347" s="253"/>
      <c r="O347" s="253"/>
      <c r="P347" s="253"/>
      <c r="Q347" s="254"/>
    </row>
    <row r="348" spans="2:17" ht="20.149999999999999" customHeight="1" x14ac:dyDescent="0.35">
      <c r="B348" s="255" t="s">
        <v>7</v>
      </c>
      <c r="C348" s="163" t="s">
        <v>11</v>
      </c>
      <c r="D348" s="168">
        <v>4851</v>
      </c>
      <c r="E348" s="169">
        <v>316</v>
      </c>
      <c r="F348" s="168">
        <v>0</v>
      </c>
      <c r="G348" s="169">
        <v>0</v>
      </c>
      <c r="H348" s="164">
        <f>SUM(D348,E348,F348,G348)</f>
        <v>5167</v>
      </c>
      <c r="I348" s="5"/>
      <c r="J348" s="5"/>
      <c r="K348" s="255" t="s">
        <v>7</v>
      </c>
      <c r="L348" s="12" t="s">
        <v>11</v>
      </c>
      <c r="M348" s="13">
        <f>D348/H352</f>
        <v>7.7522972433080303E-2</v>
      </c>
      <c r="N348" s="13">
        <f>E348/H352</f>
        <v>5.0499400719137034E-3</v>
      </c>
      <c r="O348" s="13">
        <f>F348/H352</f>
        <v>0</v>
      </c>
      <c r="P348" s="13">
        <f>G348/H352</f>
        <v>0</v>
      </c>
      <c r="Q348" s="13">
        <f>SUM(M348,N348,O348,P348)</f>
        <v>8.2572912504994003E-2</v>
      </c>
    </row>
    <row r="349" spans="2:17" ht="20.149999999999999" customHeight="1" x14ac:dyDescent="0.35">
      <c r="B349" s="256"/>
      <c r="C349" s="163" t="s">
        <v>12</v>
      </c>
      <c r="D349" s="168">
        <v>165</v>
      </c>
      <c r="E349" s="169">
        <v>197</v>
      </c>
      <c r="F349" s="168">
        <v>0</v>
      </c>
      <c r="G349" s="169">
        <v>0</v>
      </c>
      <c r="H349" s="164">
        <f>SUM(D349,E349,F349:G349)</f>
        <v>362</v>
      </c>
      <c r="I349" s="5"/>
      <c r="J349" s="5"/>
      <c r="K349" s="256"/>
      <c r="L349" s="12" t="s">
        <v>12</v>
      </c>
      <c r="M349" s="13">
        <f>D349/H352</f>
        <v>2.6368357970435476E-3</v>
      </c>
      <c r="N349" s="13">
        <f>E349/H352</f>
        <v>3.148222133439872E-3</v>
      </c>
      <c r="O349" s="13">
        <f>F349/H352</f>
        <v>0</v>
      </c>
      <c r="P349" s="13">
        <f>G349/H352</f>
        <v>0</v>
      </c>
      <c r="Q349" s="13">
        <f>SUM(M349,N349,O349:P349)</f>
        <v>5.7850579304834192E-3</v>
      </c>
    </row>
    <row r="350" spans="2:17" ht="20.149999999999999" customHeight="1" x14ac:dyDescent="0.35">
      <c r="B350" s="238" t="s">
        <v>18</v>
      </c>
      <c r="C350" s="239"/>
      <c r="D350" s="165">
        <f>SUM(D348,D349)</f>
        <v>5016</v>
      </c>
      <c r="E350" s="165">
        <f>SUM(E348,E349)</f>
        <v>513</v>
      </c>
      <c r="F350" s="165">
        <f>SUM(F348,F349)</f>
        <v>0</v>
      </c>
      <c r="G350" s="165">
        <f>SUM(G348,G349)</f>
        <v>0</v>
      </c>
      <c r="H350" s="9">
        <f>SUM(H348,H349)</f>
        <v>5529</v>
      </c>
      <c r="I350" s="5"/>
      <c r="J350" s="5"/>
      <c r="K350" s="238" t="s">
        <v>18</v>
      </c>
      <c r="L350" s="239"/>
      <c r="M350" s="15">
        <f>SUM(M348,M349)</f>
        <v>8.015980823012385E-2</v>
      </c>
      <c r="N350" s="15">
        <f>SUM(N348,N349)</f>
        <v>8.1981622053535763E-3</v>
      </c>
      <c r="O350" s="15">
        <f>SUM(O348,O349)</f>
        <v>0</v>
      </c>
      <c r="P350" s="15">
        <f>SUM(P348,P349)</f>
        <v>0</v>
      </c>
      <c r="Q350" s="11">
        <f>SUM(Q348,Q349)</f>
        <v>8.8357970435477426E-2</v>
      </c>
    </row>
    <row r="351" spans="2:17" ht="20.149999999999999" customHeight="1" thickBot="1" x14ac:dyDescent="0.4">
      <c r="B351" s="240"/>
      <c r="C351" s="241"/>
      <c r="D351" s="241"/>
      <c r="E351" s="241"/>
      <c r="F351" s="241"/>
      <c r="G351" s="241"/>
      <c r="H351" s="242"/>
      <c r="I351" s="5"/>
      <c r="J351" s="5"/>
      <c r="K351" s="240"/>
      <c r="L351" s="241"/>
      <c r="M351" s="241"/>
      <c r="N351" s="241"/>
      <c r="O351" s="241"/>
      <c r="P351" s="241"/>
      <c r="Q351" s="242"/>
    </row>
    <row r="352" spans="2:17" ht="20.149999999999999" customHeight="1" thickBot="1" x14ac:dyDescent="0.4">
      <c r="B352" s="243" t="s">
        <v>0</v>
      </c>
      <c r="C352" s="244"/>
      <c r="D352" s="16">
        <f>SUM(D346,D350)</f>
        <v>37542</v>
      </c>
      <c r="E352" s="16">
        <f>SUM(E346,E350)</f>
        <v>24393</v>
      </c>
      <c r="F352" s="16">
        <f>SUM(F346,F350)</f>
        <v>629</v>
      </c>
      <c r="G352" s="16">
        <f>SUM(G346,G350)</f>
        <v>11</v>
      </c>
      <c r="H352" s="16">
        <f>SUM(H346,H350)</f>
        <v>62575</v>
      </c>
      <c r="I352" s="5"/>
      <c r="J352" s="5"/>
      <c r="K352" s="243" t="s">
        <v>0</v>
      </c>
      <c r="L352" s="244"/>
      <c r="M352" s="17">
        <f>SUM(M346,M350)</f>
        <v>0.59995205753096281</v>
      </c>
      <c r="N352" s="17">
        <f>SUM(N346,N350)</f>
        <v>0.38982021574111064</v>
      </c>
      <c r="O352" s="18">
        <f>SUM(O346,O350)</f>
        <v>1.0051937674790252E-2</v>
      </c>
      <c r="P352" s="18">
        <f>SUM(P346,P350)</f>
        <v>1.7578905313623652E-4</v>
      </c>
      <c r="Q352" s="18">
        <f>SUM(Q346,Q350)</f>
        <v>1</v>
      </c>
    </row>
    <row r="353" spans="2:17" ht="20.149999999999999" customHeight="1" x14ac:dyDescent="0.35">
      <c r="B353" s="232" t="s">
        <v>8</v>
      </c>
      <c r="C353" s="234" t="s">
        <v>15</v>
      </c>
      <c r="D353" s="235"/>
      <c r="E353" s="234" t="s">
        <v>16</v>
      </c>
      <c r="F353" s="235"/>
      <c r="G353" s="236" t="s">
        <v>1</v>
      </c>
      <c r="H353" s="237"/>
      <c r="I353" s="5"/>
      <c r="J353" s="5"/>
      <c r="K353" s="232" t="s">
        <v>8</v>
      </c>
      <c r="L353" s="234" t="s">
        <v>15</v>
      </c>
      <c r="M353" s="235"/>
      <c r="N353" s="234" t="s">
        <v>16</v>
      </c>
      <c r="O353" s="235"/>
      <c r="P353" s="236" t="s">
        <v>1</v>
      </c>
      <c r="Q353" s="237"/>
    </row>
    <row r="354" spans="2:17" ht="20.149999999999999" customHeight="1" x14ac:dyDescent="0.35">
      <c r="B354" s="233"/>
      <c r="C354" s="245">
        <f>SUM(H344,H348)</f>
        <v>34463</v>
      </c>
      <c r="D354" s="246"/>
      <c r="E354" s="245">
        <f>SUM(H345,H349)</f>
        <v>28112</v>
      </c>
      <c r="F354" s="246"/>
      <c r="G354" s="245">
        <f>SUM(H344,H345,H348,H349)</f>
        <v>62575</v>
      </c>
      <c r="H354" s="246"/>
      <c r="I354" s="5"/>
      <c r="J354" s="5"/>
      <c r="K354" s="233"/>
      <c r="L354" s="247">
        <f>SUM(Q344,Q348)</f>
        <v>0.550747103475829</v>
      </c>
      <c r="M354" s="248"/>
      <c r="N354" s="247">
        <f>SUM(Q345,Q349)</f>
        <v>0.449252896524171</v>
      </c>
      <c r="O354" s="248"/>
      <c r="P354" s="249">
        <f>SUM(Q344,Q345,Q348,Q349)</f>
        <v>1</v>
      </c>
      <c r="Q354" s="250"/>
    </row>
    <row r="355" spans="2:17" ht="20.149999999999999" customHeight="1" x14ac:dyDescent="0.3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 spans="2:17" ht="20.149999999999999" customHeight="1" x14ac:dyDescent="0.35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 spans="2:17" ht="20.149999999999999" customHeight="1" x14ac:dyDescent="0.35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 spans="2:17" ht="20.149999999999999" customHeight="1" x14ac:dyDescent="0.35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 spans="2:17" ht="20.149999999999999" customHeight="1" x14ac:dyDescent="0.35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 spans="2:17" ht="20.149999999999999" customHeight="1" x14ac:dyDescent="0.35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 spans="2:17" ht="20.149999999999999" customHeight="1" x14ac:dyDescent="0.35">
      <c r="B361" s="5">
        <v>18</v>
      </c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 spans="2:17" ht="20.149999999999999" customHeight="1" x14ac:dyDescent="0.35">
      <c r="B362" s="263" t="s">
        <v>133</v>
      </c>
      <c r="C362" s="258"/>
      <c r="D362" s="258"/>
      <c r="E362" s="258"/>
      <c r="F362" s="258"/>
      <c r="G362" s="258"/>
      <c r="H362" s="259"/>
      <c r="I362" s="5"/>
      <c r="J362" s="5"/>
      <c r="K362" s="263" t="s">
        <v>134</v>
      </c>
      <c r="L362" s="258"/>
      <c r="M362" s="258"/>
      <c r="N362" s="258"/>
      <c r="O362" s="258"/>
      <c r="P362" s="258"/>
      <c r="Q362" s="259"/>
    </row>
    <row r="363" spans="2:17" ht="20.149999999999999" customHeight="1" x14ac:dyDescent="0.35">
      <c r="B363" s="260"/>
      <c r="C363" s="261"/>
      <c r="D363" s="261"/>
      <c r="E363" s="261"/>
      <c r="F363" s="261"/>
      <c r="G363" s="261"/>
      <c r="H363" s="262"/>
      <c r="I363" s="5"/>
      <c r="J363" s="5"/>
      <c r="K363" s="260"/>
      <c r="L363" s="261"/>
      <c r="M363" s="261"/>
      <c r="N363" s="261"/>
      <c r="O363" s="261"/>
      <c r="P363" s="261"/>
      <c r="Q363" s="262"/>
    </row>
    <row r="364" spans="2:17" ht="20.149999999999999" customHeight="1" x14ac:dyDescent="0.35">
      <c r="B364" s="3" t="s">
        <v>14</v>
      </c>
      <c r="C364" s="6" t="s">
        <v>13</v>
      </c>
      <c r="D364" s="42" t="s">
        <v>3</v>
      </c>
      <c r="E364" s="42" t="s">
        <v>4</v>
      </c>
      <c r="F364" s="42" t="s">
        <v>10</v>
      </c>
      <c r="G364" s="42" t="s">
        <v>5</v>
      </c>
      <c r="H364" s="6" t="s">
        <v>1</v>
      </c>
      <c r="I364" s="5"/>
      <c r="J364" s="5"/>
      <c r="K364" s="3" t="s">
        <v>14</v>
      </c>
      <c r="L364" s="6" t="s">
        <v>13</v>
      </c>
      <c r="M364" s="6" t="s">
        <v>3</v>
      </c>
      <c r="N364" s="6" t="s">
        <v>4</v>
      </c>
      <c r="O364" s="6" t="s">
        <v>10</v>
      </c>
      <c r="P364" s="6" t="s">
        <v>5</v>
      </c>
      <c r="Q364" s="6" t="s">
        <v>1</v>
      </c>
    </row>
    <row r="365" spans="2:17" ht="20.149999999999999" customHeight="1" x14ac:dyDescent="0.35">
      <c r="B365" s="264" t="s">
        <v>6</v>
      </c>
      <c r="C365" s="160" t="s">
        <v>9</v>
      </c>
      <c r="D365" s="166">
        <v>18943</v>
      </c>
      <c r="E365" s="167">
        <v>7415</v>
      </c>
      <c r="F365" s="166">
        <v>955</v>
      </c>
      <c r="G365" s="167">
        <v>0</v>
      </c>
      <c r="H365" s="161">
        <f>SUM(D365,E365,F365,G365)</f>
        <v>27313</v>
      </c>
      <c r="I365" s="5"/>
      <c r="J365" s="5"/>
      <c r="K365" s="264" t="s">
        <v>6</v>
      </c>
      <c r="L365" s="2" t="s">
        <v>9</v>
      </c>
      <c r="M365" s="7">
        <f>D365/H373</f>
        <v>0.52698492182718526</v>
      </c>
      <c r="N365" s="7">
        <f>E365/H373</f>
        <v>0.20628164468925611</v>
      </c>
      <c r="O365" s="7">
        <f>F365/H373</f>
        <v>2.6567629221610194E-2</v>
      </c>
      <c r="P365" s="7">
        <f>G365/H373</f>
        <v>0</v>
      </c>
      <c r="Q365" s="7">
        <f>SUM(M365,N365,O365,P365)</f>
        <v>0.75983419573805155</v>
      </c>
    </row>
    <row r="366" spans="2:17" ht="20.149999999999999" customHeight="1" x14ac:dyDescent="0.35">
      <c r="B366" s="265"/>
      <c r="C366" s="160" t="s">
        <v>2</v>
      </c>
      <c r="D366" s="166">
        <v>337</v>
      </c>
      <c r="E366" s="167">
        <v>85</v>
      </c>
      <c r="F366" s="166">
        <v>9</v>
      </c>
      <c r="G366" s="167">
        <v>0</v>
      </c>
      <c r="H366" s="161">
        <f>SUM(D366,E366,F366,G366)</f>
        <v>431</v>
      </c>
      <c r="I366" s="5"/>
      <c r="J366" s="5"/>
      <c r="K366" s="265"/>
      <c r="L366" s="2" t="s">
        <v>2</v>
      </c>
      <c r="M366" s="7">
        <f>D366/H373</f>
        <v>9.3751738719189889E-3</v>
      </c>
      <c r="N366" s="7">
        <f>E366/H373</f>
        <v>2.3646580982584989E-3</v>
      </c>
      <c r="O366" s="7">
        <f>F366/H373</f>
        <v>2.503755633450175E-4</v>
      </c>
      <c r="P366" s="7">
        <f>G366/H373</f>
        <v>0</v>
      </c>
      <c r="Q366" s="7">
        <f>SUM(M366,N366,O366,P366)</f>
        <v>1.1990207533522505E-2</v>
      </c>
    </row>
    <row r="367" spans="2:17" ht="20.149999999999999" customHeight="1" x14ac:dyDescent="0.35">
      <c r="B367" s="238" t="s">
        <v>17</v>
      </c>
      <c r="C367" s="251"/>
      <c r="D367" s="162">
        <f>SUM(D365,D366)</f>
        <v>19280</v>
      </c>
      <c r="E367" s="162">
        <f>SUM(E365,E366)</f>
        <v>7500</v>
      </c>
      <c r="F367" s="162">
        <f>SUM(F365,F366)</f>
        <v>964</v>
      </c>
      <c r="G367" s="162">
        <f>SUM(G365,G366)</f>
        <v>0</v>
      </c>
      <c r="H367" s="9">
        <f>SUM(H365,H366)</f>
        <v>27744</v>
      </c>
      <c r="I367" s="5"/>
      <c r="J367" s="5"/>
      <c r="K367" s="238" t="s">
        <v>17</v>
      </c>
      <c r="L367" s="251"/>
      <c r="M367" s="10">
        <f>SUM(M365,M366)</f>
        <v>0.53636009569910426</v>
      </c>
      <c r="N367" s="10">
        <f>SUM(N365,N366)</f>
        <v>0.20864630278751461</v>
      </c>
      <c r="O367" s="10">
        <f>SUM(O365,O366)</f>
        <v>2.6818004784955211E-2</v>
      </c>
      <c r="P367" s="10">
        <f>SUM(P365,P366)</f>
        <v>0</v>
      </c>
      <c r="Q367" s="11">
        <f>SUM(Q365,Q366)</f>
        <v>0.77182440327157409</v>
      </c>
    </row>
    <row r="368" spans="2:17" ht="20.149999999999999" customHeight="1" x14ac:dyDescent="0.35">
      <c r="B368" s="252"/>
      <c r="C368" s="253"/>
      <c r="D368" s="266"/>
      <c r="E368" s="266"/>
      <c r="F368" s="266"/>
      <c r="G368" s="266"/>
      <c r="H368" s="254"/>
      <c r="I368" s="5"/>
      <c r="J368" s="5"/>
      <c r="K368" s="252"/>
      <c r="L368" s="253"/>
      <c r="M368" s="253"/>
      <c r="N368" s="253"/>
      <c r="O368" s="253"/>
      <c r="P368" s="253"/>
      <c r="Q368" s="254"/>
    </row>
    <row r="369" spans="2:17" ht="20.149999999999999" customHeight="1" x14ac:dyDescent="0.35">
      <c r="B369" s="255" t="s">
        <v>7</v>
      </c>
      <c r="C369" s="163" t="s">
        <v>11</v>
      </c>
      <c r="D369" s="168">
        <v>5348</v>
      </c>
      <c r="E369" s="169">
        <v>2229</v>
      </c>
      <c r="F369" s="168">
        <v>533</v>
      </c>
      <c r="G369" s="169">
        <v>5</v>
      </c>
      <c r="H369" s="164">
        <f>SUM(D369,E369,F369,G369)</f>
        <v>8115</v>
      </c>
      <c r="I369" s="5"/>
      <c r="J369" s="5"/>
      <c r="K369" s="255" t="s">
        <v>7</v>
      </c>
      <c r="L369" s="12" t="s">
        <v>11</v>
      </c>
      <c r="M369" s="13">
        <f>D369/H373</f>
        <v>0.14877872364101707</v>
      </c>
      <c r="N369" s="13">
        <f>E369/H373</f>
        <v>6.2009681188449343E-2</v>
      </c>
      <c r="O369" s="13">
        <f>F369/H373</f>
        <v>1.4827797251432705E-2</v>
      </c>
      <c r="P369" s="13">
        <f>G369/H373</f>
        <v>1.390975351916764E-4</v>
      </c>
      <c r="Q369" s="13">
        <f>SUM(M369,N369,O369,P369)</f>
        <v>0.22575529961609081</v>
      </c>
    </row>
    <row r="370" spans="2:17" ht="20.149999999999999" customHeight="1" x14ac:dyDescent="0.35">
      <c r="B370" s="256"/>
      <c r="C370" s="163" t="s">
        <v>12</v>
      </c>
      <c r="D370" s="168">
        <v>39</v>
      </c>
      <c r="E370" s="169">
        <v>31</v>
      </c>
      <c r="F370" s="168">
        <v>17</v>
      </c>
      <c r="G370" s="169">
        <v>0</v>
      </c>
      <c r="H370" s="164">
        <f>SUM(D370,E370,F370:G370)</f>
        <v>87</v>
      </c>
      <c r="I370" s="5"/>
      <c r="J370" s="5"/>
      <c r="K370" s="256"/>
      <c r="L370" s="12" t="s">
        <v>12</v>
      </c>
      <c r="M370" s="13">
        <f>D370/H373</f>
        <v>1.084960774495076E-3</v>
      </c>
      <c r="N370" s="13">
        <f>E370/H373</f>
        <v>8.6240471818839373E-4</v>
      </c>
      <c r="O370" s="13">
        <f>F370/H373</f>
        <v>4.7293161965169975E-4</v>
      </c>
      <c r="P370" s="13">
        <f>G370/H373</f>
        <v>0</v>
      </c>
      <c r="Q370" s="13">
        <f>SUM(M370,N370,O370:P370)</f>
        <v>2.4202971123351695E-3</v>
      </c>
    </row>
    <row r="371" spans="2:17" ht="20.149999999999999" customHeight="1" x14ac:dyDescent="0.35">
      <c r="B371" s="238" t="s">
        <v>18</v>
      </c>
      <c r="C371" s="239"/>
      <c r="D371" s="165">
        <f>SUM(D369,D370)</f>
        <v>5387</v>
      </c>
      <c r="E371" s="165">
        <f>SUM(E369,E370)</f>
        <v>2260</v>
      </c>
      <c r="F371" s="165">
        <f>SUM(F369,F370)</f>
        <v>550</v>
      </c>
      <c r="G371" s="165">
        <f>SUM(G369,G370)</f>
        <v>5</v>
      </c>
      <c r="H371" s="9">
        <f>SUM(H369,H370)</f>
        <v>8202</v>
      </c>
      <c r="I371" s="5"/>
      <c r="J371" s="5"/>
      <c r="K371" s="238" t="s">
        <v>18</v>
      </c>
      <c r="L371" s="239"/>
      <c r="M371" s="15">
        <f>SUM(M369,M370)</f>
        <v>0.14986368441551215</v>
      </c>
      <c r="N371" s="15">
        <f>SUM(N369,N370)</f>
        <v>6.2872085906637731E-2</v>
      </c>
      <c r="O371" s="15">
        <f>SUM(O369,O370)</f>
        <v>1.5300728871084404E-2</v>
      </c>
      <c r="P371" s="15">
        <f>SUM(P369,P370)</f>
        <v>1.390975351916764E-4</v>
      </c>
      <c r="Q371" s="11">
        <f>SUM(Q369,Q370)</f>
        <v>0.22817559672842597</v>
      </c>
    </row>
    <row r="372" spans="2:17" ht="20.149999999999999" customHeight="1" thickBot="1" x14ac:dyDescent="0.4">
      <c r="B372" s="240"/>
      <c r="C372" s="241"/>
      <c r="D372" s="241"/>
      <c r="E372" s="241"/>
      <c r="F372" s="241"/>
      <c r="G372" s="241"/>
      <c r="H372" s="242"/>
      <c r="I372" s="5"/>
      <c r="J372" s="5"/>
      <c r="K372" s="240"/>
      <c r="L372" s="241"/>
      <c r="M372" s="241"/>
      <c r="N372" s="241"/>
      <c r="O372" s="241"/>
      <c r="P372" s="241"/>
      <c r="Q372" s="242"/>
    </row>
    <row r="373" spans="2:17" ht="20.149999999999999" customHeight="1" thickBot="1" x14ac:dyDescent="0.4">
      <c r="B373" s="243" t="s">
        <v>0</v>
      </c>
      <c r="C373" s="244"/>
      <c r="D373" s="16">
        <f>SUM(D367,D371)</f>
        <v>24667</v>
      </c>
      <c r="E373" s="16">
        <f>SUM(E367,E371)</f>
        <v>9760</v>
      </c>
      <c r="F373" s="16">
        <f>SUM(F367,F371)</f>
        <v>1514</v>
      </c>
      <c r="G373" s="16">
        <f>SUM(G367,G371)</f>
        <v>5</v>
      </c>
      <c r="H373" s="16">
        <f>SUM(H367,H371)</f>
        <v>35946</v>
      </c>
      <c r="I373" s="5"/>
      <c r="J373" s="5"/>
      <c r="K373" s="243" t="s">
        <v>0</v>
      </c>
      <c r="L373" s="244"/>
      <c r="M373" s="17">
        <f>SUM(M367,M371)</f>
        <v>0.68622378011461638</v>
      </c>
      <c r="N373" s="17">
        <f>SUM(N367,N371)</f>
        <v>0.27151838869415235</v>
      </c>
      <c r="O373" s="18">
        <f>SUM(O367,O371)</f>
        <v>4.2118733656039617E-2</v>
      </c>
      <c r="P373" s="18">
        <f>SUM(P367,P371)</f>
        <v>1.390975351916764E-4</v>
      </c>
      <c r="Q373" s="18">
        <f>SUM(Q367,Q371)</f>
        <v>1</v>
      </c>
    </row>
    <row r="374" spans="2:17" ht="20.149999999999999" customHeight="1" x14ac:dyDescent="0.35">
      <c r="B374" s="232" t="s">
        <v>8</v>
      </c>
      <c r="C374" s="234" t="s">
        <v>15</v>
      </c>
      <c r="D374" s="235"/>
      <c r="E374" s="234" t="s">
        <v>16</v>
      </c>
      <c r="F374" s="235"/>
      <c r="G374" s="236" t="s">
        <v>1</v>
      </c>
      <c r="H374" s="237"/>
      <c r="I374" s="5"/>
      <c r="J374" s="5"/>
      <c r="K374" s="232" t="s">
        <v>8</v>
      </c>
      <c r="L374" s="234" t="s">
        <v>15</v>
      </c>
      <c r="M374" s="235"/>
      <c r="N374" s="234" t="s">
        <v>16</v>
      </c>
      <c r="O374" s="235"/>
      <c r="P374" s="236" t="s">
        <v>1</v>
      </c>
      <c r="Q374" s="237"/>
    </row>
    <row r="375" spans="2:17" ht="20.149999999999999" customHeight="1" x14ac:dyDescent="0.35">
      <c r="B375" s="233"/>
      <c r="C375" s="245">
        <f>SUM(H365,H369)</f>
        <v>35428</v>
      </c>
      <c r="D375" s="246"/>
      <c r="E375" s="245">
        <f>SUM(H366,H370)</f>
        <v>518</v>
      </c>
      <c r="F375" s="246"/>
      <c r="G375" s="245">
        <f>SUM(H365,H366,H369,H370)</f>
        <v>35946</v>
      </c>
      <c r="H375" s="246"/>
      <c r="I375" s="5"/>
      <c r="J375" s="5"/>
      <c r="K375" s="233"/>
      <c r="L375" s="247">
        <f>SUM(Q365,Q369)</f>
        <v>0.98558949535414242</v>
      </c>
      <c r="M375" s="248"/>
      <c r="N375" s="247">
        <f>SUM(Q366,Q370)</f>
        <v>1.4410504645857674E-2</v>
      </c>
      <c r="O375" s="248"/>
      <c r="P375" s="249">
        <f>SUM(Q365,Q366,Q369,Q370)</f>
        <v>1.0000000000000002</v>
      </c>
      <c r="Q375" s="250"/>
    </row>
    <row r="376" spans="2:17" ht="20.149999999999999" customHeight="1" x14ac:dyDescent="0.35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 spans="2:17" ht="20.149999999999999" customHeight="1" x14ac:dyDescent="0.35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 spans="2:17" ht="20.149999999999999" customHeight="1" x14ac:dyDescent="0.35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 spans="2:17" ht="20.149999999999999" customHeight="1" x14ac:dyDescent="0.35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 spans="2:17" ht="20.149999999999999" customHeight="1" x14ac:dyDescent="0.35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 spans="2:17" ht="20.149999999999999" customHeight="1" x14ac:dyDescent="0.35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 spans="2:17" ht="20.149999999999999" customHeight="1" x14ac:dyDescent="0.35">
      <c r="B382" s="5">
        <v>19</v>
      </c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 spans="2:17" ht="20.149999999999999" customHeight="1" x14ac:dyDescent="0.35">
      <c r="B383" s="263" t="s">
        <v>135</v>
      </c>
      <c r="C383" s="258"/>
      <c r="D383" s="258"/>
      <c r="E383" s="258"/>
      <c r="F383" s="258"/>
      <c r="G383" s="258"/>
      <c r="H383" s="259"/>
      <c r="I383" s="5"/>
      <c r="J383" s="5"/>
      <c r="K383" s="263" t="s">
        <v>136</v>
      </c>
      <c r="L383" s="258"/>
      <c r="M383" s="258"/>
      <c r="N383" s="258"/>
      <c r="O383" s="258"/>
      <c r="P383" s="258"/>
      <c r="Q383" s="259"/>
    </row>
    <row r="384" spans="2:17" ht="20.149999999999999" customHeight="1" x14ac:dyDescent="0.35">
      <c r="B384" s="260"/>
      <c r="C384" s="261"/>
      <c r="D384" s="261"/>
      <c r="E384" s="261"/>
      <c r="F384" s="261"/>
      <c r="G384" s="261"/>
      <c r="H384" s="262"/>
      <c r="I384" s="5"/>
      <c r="J384" s="5"/>
      <c r="K384" s="260"/>
      <c r="L384" s="261"/>
      <c r="M384" s="261"/>
      <c r="N384" s="261"/>
      <c r="O384" s="261"/>
      <c r="P384" s="261"/>
      <c r="Q384" s="262"/>
    </row>
    <row r="385" spans="2:17" ht="20.149999999999999" customHeight="1" x14ac:dyDescent="0.35">
      <c r="B385" s="3" t="s">
        <v>14</v>
      </c>
      <c r="C385" s="6" t="s">
        <v>13</v>
      </c>
      <c r="D385" s="6" t="s">
        <v>3</v>
      </c>
      <c r="E385" s="6" t="s">
        <v>4</v>
      </c>
      <c r="F385" s="6" t="s">
        <v>10</v>
      </c>
      <c r="G385" s="6" t="s">
        <v>5</v>
      </c>
      <c r="H385" s="6" t="s">
        <v>1</v>
      </c>
      <c r="I385" s="5"/>
      <c r="J385" s="5"/>
      <c r="K385" s="3" t="s">
        <v>14</v>
      </c>
      <c r="L385" s="6" t="s">
        <v>13</v>
      </c>
      <c r="M385" s="6" t="s">
        <v>3</v>
      </c>
      <c r="N385" s="6" t="s">
        <v>4</v>
      </c>
      <c r="O385" s="6" t="s">
        <v>10</v>
      </c>
      <c r="P385" s="6" t="s">
        <v>5</v>
      </c>
      <c r="Q385" s="6" t="s">
        <v>1</v>
      </c>
    </row>
    <row r="386" spans="2:17" ht="20.149999999999999" customHeight="1" x14ac:dyDescent="0.35">
      <c r="B386" s="264" t="s">
        <v>6</v>
      </c>
      <c r="C386" s="2" t="s">
        <v>9</v>
      </c>
      <c r="D386" s="2">
        <v>16060</v>
      </c>
      <c r="E386" s="2">
        <v>2382</v>
      </c>
      <c r="F386" s="2">
        <v>0</v>
      </c>
      <c r="G386" s="2">
        <v>0</v>
      </c>
      <c r="H386" s="2">
        <f>SUM(D386,E386,F386,G386)</f>
        <v>18442</v>
      </c>
      <c r="I386" s="5"/>
      <c r="J386" s="5"/>
      <c r="K386" s="264" t="s">
        <v>6</v>
      </c>
      <c r="L386" s="2" t="s">
        <v>9</v>
      </c>
      <c r="M386" s="7">
        <f>D386/H394</f>
        <v>0.81452553633919966</v>
      </c>
      <c r="N386" s="7">
        <f>E386/H394</f>
        <v>0.12080945377085764</v>
      </c>
      <c r="O386" s="7">
        <f>F386/H394</f>
        <v>0</v>
      </c>
      <c r="P386" s="7">
        <f>G386/H394</f>
        <v>0</v>
      </c>
      <c r="Q386" s="7">
        <f>SUM(M386,N386,O386,P386)</f>
        <v>0.93533499011005727</v>
      </c>
    </row>
    <row r="387" spans="2:17" ht="20.149999999999999" customHeight="1" x14ac:dyDescent="0.35">
      <c r="B387" s="265"/>
      <c r="C387" s="2" t="s">
        <v>2</v>
      </c>
      <c r="D387" s="2">
        <v>613</v>
      </c>
      <c r="E387" s="2">
        <v>150</v>
      </c>
      <c r="F387" s="2">
        <v>0</v>
      </c>
      <c r="G387" s="2">
        <v>0</v>
      </c>
      <c r="H387" s="2">
        <f>SUM(D387,E387,F387,G387)</f>
        <v>763</v>
      </c>
      <c r="I387" s="5"/>
      <c r="J387" s="5"/>
      <c r="K387" s="265"/>
      <c r="L387" s="2" t="s">
        <v>2</v>
      </c>
      <c r="M387" s="7">
        <f>D387/H394</f>
        <v>3.1089922401988133E-2</v>
      </c>
      <c r="N387" s="7">
        <f>E387/H394</f>
        <v>7.6076482223461986E-3</v>
      </c>
      <c r="O387" s="7">
        <f>F387/H394</f>
        <v>0</v>
      </c>
      <c r="P387" s="7">
        <f>G387/H394</f>
        <v>0</v>
      </c>
      <c r="Q387" s="7">
        <f>SUM(M387,N387,O387,P387)</f>
        <v>3.8697570624334335E-2</v>
      </c>
    </row>
    <row r="388" spans="2:17" ht="20.149999999999999" customHeight="1" x14ac:dyDescent="0.35">
      <c r="B388" s="238" t="s">
        <v>17</v>
      </c>
      <c r="C388" s="251"/>
      <c r="D388" s="8">
        <f>SUM(D386,D387)</f>
        <v>16673</v>
      </c>
      <c r="E388" s="8">
        <f>SUM(E386,E387)</f>
        <v>2532</v>
      </c>
      <c r="F388" s="8">
        <f>SUM(F386,F387)</f>
        <v>0</v>
      </c>
      <c r="G388" s="8">
        <f>SUM(G386,G387)</f>
        <v>0</v>
      </c>
      <c r="H388" s="9">
        <f>SUM(H386,H387)</f>
        <v>19205</v>
      </c>
      <c r="I388" s="5"/>
      <c r="J388" s="5"/>
      <c r="K388" s="238" t="s">
        <v>17</v>
      </c>
      <c r="L388" s="251"/>
      <c r="M388" s="10">
        <f>SUM(M386,M387)</f>
        <v>0.84561545874118782</v>
      </c>
      <c r="N388" s="10">
        <f>SUM(N386,N387)</f>
        <v>0.12841710199320383</v>
      </c>
      <c r="O388" s="10">
        <f>SUM(O386,O387)</f>
        <v>0</v>
      </c>
      <c r="P388" s="10">
        <f>SUM(P386,P387)</f>
        <v>0</v>
      </c>
      <c r="Q388" s="11">
        <f>SUM(Q386,Q387)</f>
        <v>0.97403256073439159</v>
      </c>
    </row>
    <row r="389" spans="2:17" ht="20.149999999999999" customHeight="1" x14ac:dyDescent="0.35">
      <c r="B389" s="252"/>
      <c r="C389" s="253"/>
      <c r="D389" s="253"/>
      <c r="E389" s="253"/>
      <c r="F389" s="253"/>
      <c r="G389" s="253"/>
      <c r="H389" s="254"/>
      <c r="I389" s="5"/>
      <c r="J389" s="5"/>
      <c r="K389" s="252"/>
      <c r="L389" s="253"/>
      <c r="M389" s="253"/>
      <c r="N389" s="253"/>
      <c r="O389" s="253"/>
      <c r="P389" s="253"/>
      <c r="Q389" s="254"/>
    </row>
    <row r="390" spans="2:17" ht="20.149999999999999" customHeight="1" x14ac:dyDescent="0.35">
      <c r="B390" s="255" t="s">
        <v>7</v>
      </c>
      <c r="C390" s="12" t="s">
        <v>11</v>
      </c>
      <c r="D390" s="12">
        <v>436</v>
      </c>
      <c r="E390" s="12">
        <v>61</v>
      </c>
      <c r="F390" s="12">
        <v>0</v>
      </c>
      <c r="G390" s="12">
        <v>0</v>
      </c>
      <c r="H390" s="12">
        <f>SUM(D390,E390,F390,G390)</f>
        <v>497</v>
      </c>
      <c r="I390" s="5"/>
      <c r="J390" s="5"/>
      <c r="K390" s="255" t="s">
        <v>7</v>
      </c>
      <c r="L390" s="12" t="s">
        <v>11</v>
      </c>
      <c r="M390" s="13">
        <f>D390/H394</f>
        <v>2.2112897499619616E-2</v>
      </c>
      <c r="N390" s="13">
        <f>E390/H394</f>
        <v>3.0937769437541208E-3</v>
      </c>
      <c r="O390" s="13">
        <f>F390/H394</f>
        <v>0</v>
      </c>
      <c r="P390" s="13">
        <f>G390/H394</f>
        <v>0</v>
      </c>
      <c r="Q390" s="13">
        <f>SUM(M390,N390,O390,P390)</f>
        <v>2.5206674443373735E-2</v>
      </c>
    </row>
    <row r="391" spans="2:17" ht="20.149999999999999" customHeight="1" x14ac:dyDescent="0.35">
      <c r="B391" s="256"/>
      <c r="C391" s="12" t="s">
        <v>12</v>
      </c>
      <c r="D391" s="12">
        <v>13</v>
      </c>
      <c r="E391" s="12">
        <v>2</v>
      </c>
      <c r="F391" s="12">
        <v>0</v>
      </c>
      <c r="G391" s="12">
        <v>0</v>
      </c>
      <c r="H391" s="12">
        <f>SUM(D391,E391,F391:G391)</f>
        <v>15</v>
      </c>
      <c r="I391" s="5"/>
      <c r="J391" s="5"/>
      <c r="K391" s="256"/>
      <c r="L391" s="12" t="s">
        <v>12</v>
      </c>
      <c r="M391" s="13">
        <f>D391/H394</f>
        <v>6.5932951260333722E-4</v>
      </c>
      <c r="N391" s="13">
        <f>E391/H394</f>
        <v>1.0143530963128264E-4</v>
      </c>
      <c r="O391" s="13">
        <f>F391/H394</f>
        <v>0</v>
      </c>
      <c r="P391" s="13">
        <f>G391/H394</f>
        <v>0</v>
      </c>
      <c r="Q391" s="13">
        <f>SUM(M391,N391,O391:P391)</f>
        <v>7.6076482223461984E-4</v>
      </c>
    </row>
    <row r="392" spans="2:17" ht="20.149999999999999" customHeight="1" x14ac:dyDescent="0.35">
      <c r="B392" s="238" t="s">
        <v>18</v>
      </c>
      <c r="C392" s="239"/>
      <c r="D392" s="14">
        <f>SUM(D390,D391)</f>
        <v>449</v>
      </c>
      <c r="E392" s="14">
        <f>SUM(E390,E391)</f>
        <v>63</v>
      </c>
      <c r="F392" s="14">
        <f>SUM(F390,F391)</f>
        <v>0</v>
      </c>
      <c r="G392" s="14">
        <f>SUM(G390,G391)</f>
        <v>0</v>
      </c>
      <c r="H392" s="9">
        <f>SUM(H390,H391)</f>
        <v>512</v>
      </c>
      <c r="I392" s="5"/>
      <c r="J392" s="5"/>
      <c r="K392" s="238" t="s">
        <v>18</v>
      </c>
      <c r="L392" s="239"/>
      <c r="M392" s="15">
        <f>SUM(M390,M391)</f>
        <v>2.2772227012222954E-2</v>
      </c>
      <c r="N392" s="15">
        <f>SUM(N390,N391)</f>
        <v>3.1952122533854036E-3</v>
      </c>
      <c r="O392" s="15">
        <f>SUM(O390,O391)</f>
        <v>0</v>
      </c>
      <c r="P392" s="15">
        <f>SUM(P390,P391)</f>
        <v>0</v>
      </c>
      <c r="Q392" s="11">
        <f>SUM(Q390,Q391)</f>
        <v>2.5967439265608357E-2</v>
      </c>
    </row>
    <row r="393" spans="2:17" ht="20.149999999999999" customHeight="1" thickBot="1" x14ac:dyDescent="0.4">
      <c r="B393" s="240"/>
      <c r="C393" s="241"/>
      <c r="D393" s="241"/>
      <c r="E393" s="241"/>
      <c r="F393" s="241"/>
      <c r="G393" s="241"/>
      <c r="H393" s="242"/>
      <c r="I393" s="5"/>
      <c r="J393" s="5"/>
      <c r="K393" s="240"/>
      <c r="L393" s="241"/>
      <c r="M393" s="241"/>
      <c r="N393" s="241"/>
      <c r="O393" s="241"/>
      <c r="P393" s="241"/>
      <c r="Q393" s="242"/>
    </row>
    <row r="394" spans="2:17" ht="20.149999999999999" customHeight="1" thickBot="1" x14ac:dyDescent="0.4">
      <c r="B394" s="243" t="s">
        <v>0</v>
      </c>
      <c r="C394" s="244"/>
      <c r="D394" s="16">
        <f>SUM(D388,D392)</f>
        <v>17122</v>
      </c>
      <c r="E394" s="16">
        <f>SUM(E388,E392)</f>
        <v>2595</v>
      </c>
      <c r="F394" s="16">
        <f>SUM(F388,F392)</f>
        <v>0</v>
      </c>
      <c r="G394" s="16">
        <f>SUM(G388,G392)</f>
        <v>0</v>
      </c>
      <c r="H394" s="16">
        <f>SUM(H388,H392)</f>
        <v>19717</v>
      </c>
      <c r="I394" s="5"/>
      <c r="J394" s="5"/>
      <c r="K394" s="243" t="s">
        <v>0</v>
      </c>
      <c r="L394" s="244"/>
      <c r="M394" s="17">
        <f>SUM(M388,M392)</f>
        <v>0.86838768575341074</v>
      </c>
      <c r="N394" s="17">
        <f>SUM(N388,N392)</f>
        <v>0.13161231424658923</v>
      </c>
      <c r="O394" s="18">
        <f>SUM(O388,O392)</f>
        <v>0</v>
      </c>
      <c r="P394" s="18">
        <f>SUM(P388,P392)</f>
        <v>0</v>
      </c>
      <c r="Q394" s="18">
        <f>SUM(Q388,Q392)</f>
        <v>1</v>
      </c>
    </row>
    <row r="395" spans="2:17" ht="20.149999999999999" customHeight="1" x14ac:dyDescent="0.35">
      <c r="B395" s="232" t="s">
        <v>8</v>
      </c>
      <c r="C395" s="234" t="s">
        <v>15</v>
      </c>
      <c r="D395" s="235"/>
      <c r="E395" s="234" t="s">
        <v>16</v>
      </c>
      <c r="F395" s="235"/>
      <c r="G395" s="236" t="s">
        <v>1</v>
      </c>
      <c r="H395" s="237"/>
      <c r="I395" s="5"/>
      <c r="J395" s="5"/>
      <c r="K395" s="232" t="s">
        <v>8</v>
      </c>
      <c r="L395" s="234" t="s">
        <v>15</v>
      </c>
      <c r="M395" s="235"/>
      <c r="N395" s="234" t="s">
        <v>16</v>
      </c>
      <c r="O395" s="235"/>
      <c r="P395" s="236" t="s">
        <v>1</v>
      </c>
      <c r="Q395" s="237"/>
    </row>
    <row r="396" spans="2:17" ht="20.149999999999999" customHeight="1" x14ac:dyDescent="0.35">
      <c r="B396" s="233"/>
      <c r="C396" s="245">
        <f>SUM(H386,H390)</f>
        <v>18939</v>
      </c>
      <c r="D396" s="246"/>
      <c r="E396" s="245">
        <f>SUM(H387,H391)</f>
        <v>778</v>
      </c>
      <c r="F396" s="246"/>
      <c r="G396" s="245">
        <f>SUM(H386,H387,H390,H391)</f>
        <v>19717</v>
      </c>
      <c r="H396" s="246"/>
      <c r="I396" s="5"/>
      <c r="J396" s="5"/>
      <c r="K396" s="233"/>
      <c r="L396" s="247">
        <f>SUM(Q386,Q390)</f>
        <v>0.96054166455343104</v>
      </c>
      <c r="M396" s="248"/>
      <c r="N396" s="247">
        <f>SUM(Q387,Q391)</f>
        <v>3.9458335446568953E-2</v>
      </c>
      <c r="O396" s="248"/>
      <c r="P396" s="249">
        <f>SUM(Q386,Q387,Q390,Q391)</f>
        <v>1</v>
      </c>
      <c r="Q396" s="250"/>
    </row>
    <row r="397" spans="2:17" ht="20.149999999999999" customHeight="1" x14ac:dyDescent="0.35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 spans="2:17" ht="20.149999999999999" customHeight="1" x14ac:dyDescent="0.35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 spans="2:17" ht="20.149999999999999" customHeight="1" x14ac:dyDescent="0.35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 spans="2:17" ht="20.149999999999999" customHeight="1" x14ac:dyDescent="0.35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 spans="2:17" ht="20.149999999999999" customHeight="1" x14ac:dyDescent="0.35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 spans="2:17" ht="20.149999999999999" customHeight="1" x14ac:dyDescent="0.35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 spans="2:17" ht="20.149999999999999" customHeight="1" x14ac:dyDescent="0.35">
      <c r="B403" s="5">
        <v>20</v>
      </c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 spans="2:17" ht="20.149999999999999" customHeight="1" x14ac:dyDescent="0.35">
      <c r="B404" s="263" t="s">
        <v>137</v>
      </c>
      <c r="C404" s="258"/>
      <c r="D404" s="258"/>
      <c r="E404" s="258"/>
      <c r="F404" s="258"/>
      <c r="G404" s="258"/>
      <c r="H404" s="259"/>
      <c r="I404" s="5"/>
      <c r="J404" s="5"/>
      <c r="K404" s="263" t="s">
        <v>138</v>
      </c>
      <c r="L404" s="258"/>
      <c r="M404" s="258"/>
      <c r="N404" s="258"/>
      <c r="O404" s="258"/>
      <c r="P404" s="258"/>
      <c r="Q404" s="259"/>
    </row>
    <row r="405" spans="2:17" ht="20.149999999999999" customHeight="1" x14ac:dyDescent="0.35">
      <c r="B405" s="260"/>
      <c r="C405" s="261"/>
      <c r="D405" s="261"/>
      <c r="E405" s="261"/>
      <c r="F405" s="261"/>
      <c r="G405" s="261"/>
      <c r="H405" s="262"/>
      <c r="I405" s="5"/>
      <c r="J405" s="5"/>
      <c r="K405" s="260"/>
      <c r="L405" s="261"/>
      <c r="M405" s="261"/>
      <c r="N405" s="261"/>
      <c r="O405" s="261"/>
      <c r="P405" s="261"/>
      <c r="Q405" s="262"/>
    </row>
    <row r="406" spans="2:17" ht="20.149999999999999" customHeight="1" thickBot="1" x14ac:dyDescent="0.4">
      <c r="B406" s="3" t="s">
        <v>14</v>
      </c>
      <c r="C406" s="6" t="s">
        <v>13</v>
      </c>
      <c r="D406" s="6" t="s">
        <v>3</v>
      </c>
      <c r="E406" s="6" t="s">
        <v>4</v>
      </c>
      <c r="F406" s="6" t="s">
        <v>10</v>
      </c>
      <c r="G406" s="6" t="s">
        <v>5</v>
      </c>
      <c r="H406" s="6" t="s">
        <v>1</v>
      </c>
      <c r="I406" s="5"/>
      <c r="J406" s="5"/>
      <c r="K406" s="3" t="s">
        <v>14</v>
      </c>
      <c r="L406" s="6" t="s">
        <v>13</v>
      </c>
      <c r="M406" s="6" t="s">
        <v>3</v>
      </c>
      <c r="N406" s="6" t="s">
        <v>4</v>
      </c>
      <c r="O406" s="6" t="s">
        <v>10</v>
      </c>
      <c r="P406" s="6" t="s">
        <v>5</v>
      </c>
      <c r="Q406" s="6" t="s">
        <v>1</v>
      </c>
    </row>
    <row r="407" spans="2:17" ht="20.149999999999999" customHeight="1" thickTop="1" thickBot="1" x14ac:dyDescent="0.4">
      <c r="B407" s="264" t="s">
        <v>6</v>
      </c>
      <c r="C407" s="2" t="s">
        <v>9</v>
      </c>
      <c r="D407" s="181">
        <v>28819</v>
      </c>
      <c r="E407" s="182">
        <v>3235</v>
      </c>
      <c r="F407" s="181">
        <v>0</v>
      </c>
      <c r="G407" s="182">
        <v>0</v>
      </c>
      <c r="H407" s="2">
        <f>SUM(D407,E407,F407,G407)</f>
        <v>32054</v>
      </c>
      <c r="I407" s="5"/>
      <c r="J407" s="5"/>
      <c r="K407" s="264" t="s">
        <v>6</v>
      </c>
      <c r="L407" s="2" t="s">
        <v>9</v>
      </c>
      <c r="M407" s="7">
        <f>D407/H415</f>
        <v>0.71826633103207638</v>
      </c>
      <c r="N407" s="7">
        <f>E407/H415</f>
        <v>8.0627071754355351E-2</v>
      </c>
      <c r="O407" s="7">
        <f>F407/H415</f>
        <v>0</v>
      </c>
      <c r="P407" s="7">
        <f>G407/H415</f>
        <v>0</v>
      </c>
      <c r="Q407" s="7">
        <f>SUM(M407,N407,O407,P407)</f>
        <v>0.79889340278643173</v>
      </c>
    </row>
    <row r="408" spans="2:17" ht="20.149999999999999" customHeight="1" thickTop="1" thickBot="1" x14ac:dyDescent="0.4">
      <c r="B408" s="265"/>
      <c r="C408" s="2" t="s">
        <v>2</v>
      </c>
      <c r="D408" s="181">
        <v>5937</v>
      </c>
      <c r="E408" s="182">
        <v>188</v>
      </c>
      <c r="F408" s="181">
        <v>0</v>
      </c>
      <c r="G408" s="182">
        <v>0</v>
      </c>
      <c r="H408" s="2">
        <f>SUM(D408,E408,F408,G408)</f>
        <v>6125</v>
      </c>
      <c r="I408" s="5"/>
      <c r="J408" s="5"/>
      <c r="K408" s="265"/>
      <c r="L408" s="2" t="s">
        <v>2</v>
      </c>
      <c r="M408" s="7">
        <f>D408/H415</f>
        <v>0.14796999227375821</v>
      </c>
      <c r="N408" s="7">
        <f>E408/H415</f>
        <v>4.6855918051990127E-3</v>
      </c>
      <c r="O408" s="7">
        <f>F408/H415</f>
        <v>0</v>
      </c>
      <c r="P408" s="7">
        <f>G408/H415</f>
        <v>0</v>
      </c>
      <c r="Q408" s="7">
        <f>SUM(M408,N408,O408,P408)</f>
        <v>0.15265558407895721</v>
      </c>
    </row>
    <row r="409" spans="2:17" ht="20.149999999999999" customHeight="1" thickTop="1" x14ac:dyDescent="0.35">
      <c r="B409" s="238" t="s">
        <v>17</v>
      </c>
      <c r="C409" s="251"/>
      <c r="D409" s="8">
        <f>SUM(D407,D408)</f>
        <v>34756</v>
      </c>
      <c r="E409" s="8">
        <f>SUM(E407,E408)</f>
        <v>3423</v>
      </c>
      <c r="F409" s="8">
        <f>SUM(F407,F408)</f>
        <v>0</v>
      </c>
      <c r="G409" s="8">
        <f>SUM(G407,G408)</f>
        <v>0</v>
      </c>
      <c r="H409" s="9">
        <f>SUM(H407,H408)</f>
        <v>38179</v>
      </c>
      <c r="I409" s="5"/>
      <c r="J409" s="5"/>
      <c r="K409" s="238" t="s">
        <v>17</v>
      </c>
      <c r="L409" s="251"/>
      <c r="M409" s="10">
        <f>SUM(M407,M408)</f>
        <v>0.86623632330583455</v>
      </c>
      <c r="N409" s="10">
        <f>SUM(N407,N408)</f>
        <v>8.5312663559554358E-2</v>
      </c>
      <c r="O409" s="10">
        <f>SUM(O407,O408)</f>
        <v>0</v>
      </c>
      <c r="P409" s="10">
        <f>SUM(P407,P408)</f>
        <v>0</v>
      </c>
      <c r="Q409" s="11">
        <f>SUM(Q407,Q408)</f>
        <v>0.95154898686538891</v>
      </c>
    </row>
    <row r="410" spans="2:17" ht="20.149999999999999" customHeight="1" thickBot="1" x14ac:dyDescent="0.4">
      <c r="B410" s="252"/>
      <c r="C410" s="253"/>
      <c r="D410" s="253"/>
      <c r="E410" s="253"/>
      <c r="F410" s="253"/>
      <c r="G410" s="253"/>
      <c r="H410" s="254"/>
      <c r="I410" s="5"/>
      <c r="J410" s="5"/>
      <c r="K410" s="252"/>
      <c r="L410" s="253"/>
      <c r="M410" s="253"/>
      <c r="N410" s="253"/>
      <c r="O410" s="253"/>
      <c r="P410" s="253"/>
      <c r="Q410" s="254"/>
    </row>
    <row r="411" spans="2:17" ht="20.149999999999999" customHeight="1" thickTop="1" thickBot="1" x14ac:dyDescent="0.4">
      <c r="B411" s="255" t="s">
        <v>7</v>
      </c>
      <c r="C411" s="12" t="s">
        <v>11</v>
      </c>
      <c r="D411" s="183">
        <v>1723</v>
      </c>
      <c r="E411" s="83">
        <v>79</v>
      </c>
      <c r="F411" s="183">
        <v>0</v>
      </c>
      <c r="G411" s="83">
        <v>0</v>
      </c>
      <c r="H411" s="12">
        <f>SUM(D411,E411,F411,G411)</f>
        <v>1802</v>
      </c>
      <c r="I411" s="5"/>
      <c r="J411" s="5"/>
      <c r="K411" s="255" t="s">
        <v>7</v>
      </c>
      <c r="L411" s="12" t="s">
        <v>11</v>
      </c>
      <c r="M411" s="13">
        <f>D411/H415</f>
        <v>4.2942950427435636E-2</v>
      </c>
      <c r="N411" s="13">
        <f>E411/H415</f>
        <v>1.9689454926102236E-3</v>
      </c>
      <c r="O411" s="13">
        <f>F411/H415</f>
        <v>0</v>
      </c>
      <c r="P411" s="13">
        <f>G411/H415</f>
        <v>0</v>
      </c>
      <c r="Q411" s="13">
        <f>SUM(M411,N411,O411,P411)</f>
        <v>4.4911895920045859E-2</v>
      </c>
    </row>
    <row r="412" spans="2:17" ht="20.149999999999999" customHeight="1" thickTop="1" thickBot="1" x14ac:dyDescent="0.4">
      <c r="B412" s="256"/>
      <c r="C412" s="12" t="s">
        <v>12</v>
      </c>
      <c r="D412" s="183">
        <v>133</v>
      </c>
      <c r="E412" s="83">
        <v>9</v>
      </c>
      <c r="F412" s="183">
        <v>0</v>
      </c>
      <c r="G412" s="83">
        <v>0</v>
      </c>
      <c r="H412" s="12">
        <f>SUM(D412,E412,F412:G412)</f>
        <v>142</v>
      </c>
      <c r="I412" s="5"/>
      <c r="J412" s="5"/>
      <c r="K412" s="256"/>
      <c r="L412" s="12" t="s">
        <v>12</v>
      </c>
      <c r="M412" s="13">
        <f>D412/H415</f>
        <v>3.3148069685716422E-3</v>
      </c>
      <c r="N412" s="13">
        <f>E412/H415</f>
        <v>2.2431024599356978E-4</v>
      </c>
      <c r="O412" s="13">
        <f>F412/H415</f>
        <v>0</v>
      </c>
      <c r="P412" s="13">
        <f>G412/H415</f>
        <v>0</v>
      </c>
      <c r="Q412" s="13">
        <f>SUM(M412,N412,O412:P412)</f>
        <v>3.539117214565212E-3</v>
      </c>
    </row>
    <row r="413" spans="2:17" ht="20.149999999999999" customHeight="1" thickTop="1" x14ac:dyDescent="0.35">
      <c r="B413" s="238" t="s">
        <v>18</v>
      </c>
      <c r="C413" s="239"/>
      <c r="D413" s="14">
        <f>SUM(D411,D412)</f>
        <v>1856</v>
      </c>
      <c r="E413" s="14">
        <f>SUM(E411,E412)</f>
        <v>88</v>
      </c>
      <c r="F413" s="14">
        <f>SUM(F411,F412)</f>
        <v>0</v>
      </c>
      <c r="G413" s="14">
        <f>SUM(G411,G412)</f>
        <v>0</v>
      </c>
      <c r="H413" s="9">
        <f>SUM(H411,H412)</f>
        <v>1944</v>
      </c>
      <c r="I413" s="5"/>
      <c r="J413" s="5"/>
      <c r="K413" s="238" t="s">
        <v>18</v>
      </c>
      <c r="L413" s="239"/>
      <c r="M413" s="15">
        <f>SUM(M411,M412)</f>
        <v>4.6257757396007279E-2</v>
      </c>
      <c r="N413" s="15">
        <f>SUM(N411,N412)</f>
        <v>2.1932557386037934E-3</v>
      </c>
      <c r="O413" s="15">
        <f>SUM(O411,O412)</f>
        <v>0</v>
      </c>
      <c r="P413" s="15">
        <f>SUM(P411,P412)</f>
        <v>0</v>
      </c>
      <c r="Q413" s="11">
        <f>SUM(Q411,Q412)</f>
        <v>4.8451013134611073E-2</v>
      </c>
    </row>
    <row r="414" spans="2:17" ht="20.149999999999999" customHeight="1" thickBot="1" x14ac:dyDescent="0.4">
      <c r="B414" s="240"/>
      <c r="C414" s="241"/>
      <c r="D414" s="241"/>
      <c r="E414" s="241"/>
      <c r="F414" s="241"/>
      <c r="G414" s="241"/>
      <c r="H414" s="242"/>
      <c r="I414" s="5"/>
      <c r="J414" s="5"/>
      <c r="K414" s="240"/>
      <c r="L414" s="241"/>
      <c r="M414" s="241"/>
      <c r="N414" s="241"/>
      <c r="O414" s="241"/>
      <c r="P414" s="241"/>
      <c r="Q414" s="242"/>
    </row>
    <row r="415" spans="2:17" ht="20.149999999999999" customHeight="1" thickBot="1" x14ac:dyDescent="0.4">
      <c r="B415" s="243" t="s">
        <v>0</v>
      </c>
      <c r="C415" s="244"/>
      <c r="D415" s="16">
        <f>SUM(D409,D413)</f>
        <v>36612</v>
      </c>
      <c r="E415" s="16">
        <f>SUM(E409,E413)</f>
        <v>3511</v>
      </c>
      <c r="F415" s="16">
        <f>SUM(F409,F413)</f>
        <v>0</v>
      </c>
      <c r="G415" s="16">
        <f>SUM(G409,G413)</f>
        <v>0</v>
      </c>
      <c r="H415" s="16">
        <f>SUM(H409,H413)</f>
        <v>40123</v>
      </c>
      <c r="I415" s="5"/>
      <c r="J415" s="5"/>
      <c r="K415" s="243" t="s">
        <v>0</v>
      </c>
      <c r="L415" s="244"/>
      <c r="M415" s="17">
        <f>SUM(M409,M413)</f>
        <v>0.91249408070184179</v>
      </c>
      <c r="N415" s="17">
        <f>SUM(N409,N413)</f>
        <v>8.7505919298158152E-2</v>
      </c>
      <c r="O415" s="18">
        <f>SUM(O409,O413)</f>
        <v>0</v>
      </c>
      <c r="P415" s="18">
        <f>SUM(P409,P413)</f>
        <v>0</v>
      </c>
      <c r="Q415" s="18">
        <f>SUM(Q409,Q413)</f>
        <v>1</v>
      </c>
    </row>
    <row r="416" spans="2:17" ht="20.149999999999999" customHeight="1" x14ac:dyDescent="0.35">
      <c r="B416" s="232" t="s">
        <v>8</v>
      </c>
      <c r="C416" s="234" t="s">
        <v>15</v>
      </c>
      <c r="D416" s="235"/>
      <c r="E416" s="234" t="s">
        <v>16</v>
      </c>
      <c r="F416" s="235"/>
      <c r="G416" s="236" t="s">
        <v>1</v>
      </c>
      <c r="H416" s="237"/>
      <c r="I416" s="5"/>
      <c r="J416" s="5"/>
      <c r="K416" s="232" t="s">
        <v>8</v>
      </c>
      <c r="L416" s="234" t="s">
        <v>15</v>
      </c>
      <c r="M416" s="235"/>
      <c r="N416" s="234" t="s">
        <v>16</v>
      </c>
      <c r="O416" s="235"/>
      <c r="P416" s="236" t="s">
        <v>1</v>
      </c>
      <c r="Q416" s="237"/>
    </row>
    <row r="417" spans="2:17" ht="20.149999999999999" customHeight="1" x14ac:dyDescent="0.35">
      <c r="B417" s="233"/>
      <c r="C417" s="245">
        <f>SUM(H407,H411)</f>
        <v>33856</v>
      </c>
      <c r="D417" s="246"/>
      <c r="E417" s="245">
        <f>SUM(H408,H412)</f>
        <v>6267</v>
      </c>
      <c r="F417" s="246"/>
      <c r="G417" s="245">
        <f>SUM(H407,H408,H411,H412)</f>
        <v>40123</v>
      </c>
      <c r="H417" s="246"/>
      <c r="I417" s="5"/>
      <c r="J417" s="5"/>
      <c r="K417" s="233"/>
      <c r="L417" s="247">
        <f>SUM(Q407,Q411)</f>
        <v>0.84380529870647758</v>
      </c>
      <c r="M417" s="248"/>
      <c r="N417" s="247">
        <f>SUM(Q408,Q412)</f>
        <v>0.15619470129352242</v>
      </c>
      <c r="O417" s="248"/>
      <c r="P417" s="249">
        <f>SUM(Q407,Q408,Q411,Q412)</f>
        <v>1</v>
      </c>
      <c r="Q417" s="250"/>
    </row>
    <row r="418" spans="2:17" ht="20.149999999999999" customHeight="1" x14ac:dyDescent="0.35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 spans="2:17" ht="20.149999999999999" customHeight="1" x14ac:dyDescent="0.35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 spans="2:17" ht="20.149999999999999" customHeight="1" x14ac:dyDescent="0.35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 spans="2:17" ht="20.149999999999999" customHeight="1" x14ac:dyDescent="0.35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 spans="2:17" ht="20.149999999999999" customHeight="1" x14ac:dyDescent="0.35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 spans="2:17" ht="20.149999999999999" customHeight="1" x14ac:dyDescent="0.35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 spans="2:17" ht="20.149999999999999" customHeight="1" x14ac:dyDescent="0.35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 spans="2:17" ht="20.149999999999999" customHeight="1" x14ac:dyDescent="0.3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 spans="2:17" ht="20.149999999999999" customHeight="1" x14ac:dyDescent="0.35">
      <c r="B426" s="257" t="s">
        <v>139</v>
      </c>
      <c r="C426" s="258"/>
      <c r="D426" s="258"/>
      <c r="E426" s="258"/>
      <c r="F426" s="258"/>
      <c r="G426" s="258"/>
      <c r="H426" s="259"/>
      <c r="I426" s="5"/>
      <c r="J426" s="5"/>
      <c r="K426" s="263" t="s">
        <v>140</v>
      </c>
      <c r="L426" s="258"/>
      <c r="M426" s="258"/>
      <c r="N426" s="258"/>
      <c r="O426" s="258"/>
      <c r="P426" s="258"/>
      <c r="Q426" s="259"/>
    </row>
    <row r="427" spans="2:17" ht="20.149999999999999" customHeight="1" x14ac:dyDescent="0.35">
      <c r="B427" s="260"/>
      <c r="C427" s="261"/>
      <c r="D427" s="261"/>
      <c r="E427" s="261"/>
      <c r="F427" s="261"/>
      <c r="G427" s="261"/>
      <c r="H427" s="262"/>
      <c r="I427" s="5"/>
      <c r="J427" s="5"/>
      <c r="K427" s="260"/>
      <c r="L427" s="261"/>
      <c r="M427" s="261"/>
      <c r="N427" s="261"/>
      <c r="O427" s="261"/>
      <c r="P427" s="261"/>
      <c r="Q427" s="262"/>
    </row>
    <row r="428" spans="2:17" ht="20.149999999999999" customHeight="1" x14ac:dyDescent="0.35">
      <c r="B428" s="3" t="s">
        <v>14</v>
      </c>
      <c r="C428" s="6" t="s">
        <v>13</v>
      </c>
      <c r="D428" s="6" t="s">
        <v>3</v>
      </c>
      <c r="E428" s="6" t="s">
        <v>4</v>
      </c>
      <c r="F428" s="6" t="s">
        <v>10</v>
      </c>
      <c r="G428" s="6" t="s">
        <v>5</v>
      </c>
      <c r="H428" s="6" t="s">
        <v>1</v>
      </c>
      <c r="I428" s="5"/>
      <c r="J428" s="5"/>
      <c r="K428" s="3" t="s">
        <v>14</v>
      </c>
      <c r="L428" s="6" t="s">
        <v>13</v>
      </c>
      <c r="M428" s="6" t="s">
        <v>3</v>
      </c>
      <c r="N428" s="6" t="s">
        <v>4</v>
      </c>
      <c r="O428" s="6" t="s">
        <v>10</v>
      </c>
      <c r="P428" s="6" t="s">
        <v>5</v>
      </c>
      <c r="Q428" s="6" t="s">
        <v>1</v>
      </c>
    </row>
    <row r="429" spans="2:17" ht="20.149999999999999" customHeight="1" x14ac:dyDescent="0.35">
      <c r="B429" s="264" t="s">
        <v>6</v>
      </c>
      <c r="C429" s="2" t="s">
        <v>9</v>
      </c>
      <c r="D429" s="2">
        <f>SUM(D407,D7,D29,D49,D69,D90,D111,D132,D153,D175,D197,D218,D239,D260,D280,D301,D323,D344,D365,D386,)</f>
        <v>239391</v>
      </c>
      <c r="E429" s="2">
        <f t="shared" ref="E429:G430" si="0">SUM(E407,E386,E365,E344,E323,E301,E280,E260,E239,E218,E197,E175,E153,E132,E111,E90,E69,E49,E29,E7,)</f>
        <v>58902</v>
      </c>
      <c r="F429" s="2">
        <f t="shared" si="0"/>
        <v>2665</v>
      </c>
      <c r="G429" s="2">
        <f t="shared" si="0"/>
        <v>22</v>
      </c>
      <c r="H429" s="2">
        <f>SUM(D429,E429,F429,G429)</f>
        <v>300980</v>
      </c>
      <c r="I429" s="5"/>
      <c r="J429" s="5"/>
      <c r="K429" s="264" t="s">
        <v>6</v>
      </c>
      <c r="L429" s="2" t="s">
        <v>9</v>
      </c>
      <c r="M429" s="22">
        <f>D429/H437</f>
        <v>0.56922908646472625</v>
      </c>
      <c r="N429" s="22">
        <f>E429/H437</f>
        <v>0.14005844685449872</v>
      </c>
      <c r="O429" s="22">
        <f>F429/H437</f>
        <v>6.3368945174567771E-3</v>
      </c>
      <c r="P429" s="22">
        <f>G429/H437</f>
        <v>5.2312074815778271E-5</v>
      </c>
      <c r="Q429" s="22">
        <f>SUM(M429,N429,O429,P429)</f>
        <v>0.71567673991149761</v>
      </c>
    </row>
    <row r="430" spans="2:17" ht="20.149999999999999" customHeight="1" x14ac:dyDescent="0.35">
      <c r="B430" s="265"/>
      <c r="C430" s="2" t="s">
        <v>2</v>
      </c>
      <c r="D430" s="2">
        <f>SUM(D408,D387,D366,D345,D324,D302,D281,D261,D240,D219,D198,D176,D154,D133,D112,D91,D70,D50,D30,D8,)</f>
        <v>62522</v>
      </c>
      <c r="E430" s="2">
        <f t="shared" si="0"/>
        <v>30355</v>
      </c>
      <c r="F430" s="2">
        <f t="shared" si="0"/>
        <v>3050</v>
      </c>
      <c r="G430" s="2">
        <f t="shared" si="0"/>
        <v>0</v>
      </c>
      <c r="H430" s="2">
        <f>SUM(D430,E430,F430,G430)</f>
        <v>95927</v>
      </c>
      <c r="I430" s="5"/>
      <c r="J430" s="5"/>
      <c r="K430" s="265"/>
      <c r="L430" s="2" t="s">
        <v>2</v>
      </c>
      <c r="M430" s="22">
        <f>D430/H437</f>
        <v>0.14866616098327678</v>
      </c>
      <c r="N430" s="22">
        <f>E430/H437</f>
        <v>7.2178774137861335E-2</v>
      </c>
      <c r="O430" s="22">
        <f>F430/H437</f>
        <v>7.2523558267328968E-3</v>
      </c>
      <c r="P430" s="22">
        <f>G430/H437</f>
        <v>0</v>
      </c>
      <c r="Q430" s="22">
        <f>SUM(M430,N430,O430,P430)</f>
        <v>0.22809729094787101</v>
      </c>
    </row>
    <row r="431" spans="2:17" ht="20.149999999999999" customHeight="1" x14ac:dyDescent="0.35">
      <c r="B431" s="238" t="s">
        <v>17</v>
      </c>
      <c r="C431" s="251"/>
      <c r="D431" s="8">
        <f>SUM(D429,D430)</f>
        <v>301913</v>
      </c>
      <c r="E431" s="8">
        <f>SUM(E429,E430)</f>
        <v>89257</v>
      </c>
      <c r="F431" s="8">
        <f>SUM(F429,F430)</f>
        <v>5715</v>
      </c>
      <c r="G431" s="8">
        <f>SUM(G429,G430)</f>
        <v>22</v>
      </c>
      <c r="H431" s="9">
        <f>SUM(H429,H430)</f>
        <v>396907</v>
      </c>
      <c r="I431" s="5"/>
      <c r="J431" s="5"/>
      <c r="K431" s="238" t="s">
        <v>17</v>
      </c>
      <c r="L431" s="251"/>
      <c r="M431" s="23">
        <f>SUM(M429,M430)</f>
        <v>0.71789524744800304</v>
      </c>
      <c r="N431" s="23">
        <f>SUM(N429,N430)</f>
        <v>0.21223722099236006</v>
      </c>
      <c r="O431" s="23">
        <f>SUM(O429,O430)</f>
        <v>1.3589250344189674E-2</v>
      </c>
      <c r="P431" s="23">
        <f>SUM(P429,P430)</f>
        <v>5.2312074815778271E-5</v>
      </c>
      <c r="Q431" s="24">
        <f>SUM(Q429,Q430)</f>
        <v>0.94377403085936862</v>
      </c>
    </row>
    <row r="432" spans="2:17" ht="20.149999999999999" customHeight="1" x14ac:dyDescent="0.35">
      <c r="B432" s="252"/>
      <c r="C432" s="253"/>
      <c r="D432" s="253"/>
      <c r="E432" s="253"/>
      <c r="F432" s="253"/>
      <c r="G432" s="253"/>
      <c r="H432" s="254"/>
      <c r="I432" s="5"/>
      <c r="J432" s="5"/>
      <c r="K432" s="252"/>
      <c r="L432" s="253"/>
      <c r="M432" s="253"/>
      <c r="N432" s="253"/>
      <c r="O432" s="253"/>
      <c r="P432" s="253"/>
      <c r="Q432" s="254"/>
    </row>
    <row r="433" spans="2:17" ht="20.149999999999999" customHeight="1" x14ac:dyDescent="0.35">
      <c r="B433" s="255" t="s">
        <v>7</v>
      </c>
      <c r="C433" s="12" t="s">
        <v>11</v>
      </c>
      <c r="D433" s="12">
        <f t="shared" ref="D433:F434" si="1">SUM(D411,D390,D369,D348,D327,D305,D284,D264,D243,D222,D201,D179,D157,D136,D115,D94,D73,D53,D33,D11,)</f>
        <v>17282</v>
      </c>
      <c r="E433" s="12">
        <f t="shared" si="1"/>
        <v>3473</v>
      </c>
      <c r="F433" s="12">
        <f t="shared" si="1"/>
        <v>574</v>
      </c>
      <c r="G433" s="12">
        <f>SUM(G411,G390,G369,G348,G327,G305,G284,G264,G243,G222,G201,G179,G157,G136,G115,G94,G73,G53,G33,G11,)</f>
        <v>5</v>
      </c>
      <c r="H433" s="12">
        <f>SUM(D433,E433,F433,G433)</f>
        <v>21334</v>
      </c>
      <c r="I433" s="5"/>
      <c r="J433" s="5"/>
      <c r="K433" s="255" t="s">
        <v>7</v>
      </c>
      <c r="L433" s="12" t="s">
        <v>11</v>
      </c>
      <c r="M433" s="25">
        <f>D433/H437</f>
        <v>4.1093512589376366E-2</v>
      </c>
      <c r="N433" s="25">
        <f>E433/H437</f>
        <v>8.2581743561453615E-3</v>
      </c>
      <c r="O433" s="25">
        <f>F433/H437</f>
        <v>1.3648695883753058E-3</v>
      </c>
      <c r="P433" s="25">
        <f>G433/H437</f>
        <v>1.1889107912676879E-5</v>
      </c>
      <c r="Q433" s="25">
        <f>SUM(M433,N433,O433,P433)</f>
        <v>5.0728445641809713E-2</v>
      </c>
    </row>
    <row r="434" spans="2:17" ht="20.149999999999999" customHeight="1" x14ac:dyDescent="0.35">
      <c r="B434" s="256"/>
      <c r="C434" s="12" t="s">
        <v>12</v>
      </c>
      <c r="D434" s="12">
        <f t="shared" si="1"/>
        <v>1722</v>
      </c>
      <c r="E434" s="12">
        <f t="shared" si="1"/>
        <v>516</v>
      </c>
      <c r="F434" s="12">
        <f t="shared" si="1"/>
        <v>74</v>
      </c>
      <c r="G434" s="12">
        <f>SUM(G412,G391,G370,G349,G328,G306,G285,G265,G244,G223,G202,G180,G158,G137,G116,G95,G74,G54,G34,G12,)</f>
        <v>0</v>
      </c>
      <c r="H434" s="12">
        <f>SUM(D434,E434,F434:G434)</f>
        <v>2312</v>
      </c>
      <c r="I434" s="5"/>
      <c r="J434" s="5"/>
      <c r="K434" s="256"/>
      <c r="L434" s="12" t="s">
        <v>12</v>
      </c>
      <c r="M434" s="25">
        <f>D434/H437</f>
        <v>4.0946087651259179E-3</v>
      </c>
      <c r="N434" s="25">
        <f>E434/H437</f>
        <v>1.2269559365882541E-3</v>
      </c>
      <c r="O434" s="25">
        <f>F434/H437</f>
        <v>1.7595879710761782E-4</v>
      </c>
      <c r="P434" s="25">
        <f>G434/H437</f>
        <v>0</v>
      </c>
      <c r="Q434" s="25">
        <f>SUM(M434,N434,O434:P434)</f>
        <v>5.4975234988217901E-3</v>
      </c>
    </row>
    <row r="435" spans="2:17" ht="20.149999999999999" customHeight="1" x14ac:dyDescent="0.35">
      <c r="B435" s="238" t="s">
        <v>18</v>
      </c>
      <c r="C435" s="239"/>
      <c r="D435" s="14">
        <f>SUM(D433,D434)</f>
        <v>19004</v>
      </c>
      <c r="E435" s="14">
        <f>SUM(E433,E434)</f>
        <v>3989</v>
      </c>
      <c r="F435" s="14">
        <f>SUM(F433,F434)</f>
        <v>648</v>
      </c>
      <c r="G435" s="14">
        <f>SUM(G433,G434)</f>
        <v>5</v>
      </c>
      <c r="H435" s="9">
        <f>SUM(H433,H434)</f>
        <v>23646</v>
      </c>
      <c r="I435" s="5"/>
      <c r="J435" s="5"/>
      <c r="K435" s="238" t="s">
        <v>18</v>
      </c>
      <c r="L435" s="239"/>
      <c r="M435" s="26">
        <f>SUM(M433,M434)</f>
        <v>4.5188121354502286E-2</v>
      </c>
      <c r="N435" s="26">
        <f>SUM(N433,N434)</f>
        <v>9.4851302927336165E-3</v>
      </c>
      <c r="O435" s="26">
        <f>SUM(O433,O434)</f>
        <v>1.5408283854829237E-3</v>
      </c>
      <c r="P435" s="26">
        <f>SUM(P433,P434)</f>
        <v>1.1889107912676879E-5</v>
      </c>
      <c r="Q435" s="24">
        <f>SUM(Q433,Q434)</f>
        <v>5.6225969140631507E-2</v>
      </c>
    </row>
    <row r="436" spans="2:17" ht="20.149999999999999" customHeight="1" thickBot="1" x14ac:dyDescent="0.4">
      <c r="B436" s="240"/>
      <c r="C436" s="241"/>
      <c r="D436" s="241"/>
      <c r="E436" s="241"/>
      <c r="F436" s="241"/>
      <c r="G436" s="241"/>
      <c r="H436" s="242"/>
      <c r="I436" s="5"/>
      <c r="J436" s="5"/>
      <c r="K436" s="240"/>
      <c r="L436" s="241"/>
      <c r="M436" s="241"/>
      <c r="N436" s="241"/>
      <c r="O436" s="241"/>
      <c r="P436" s="241"/>
      <c r="Q436" s="242"/>
    </row>
    <row r="437" spans="2:17" ht="20.149999999999999" customHeight="1" thickBot="1" x14ac:dyDescent="0.4">
      <c r="B437" s="243" t="s">
        <v>0</v>
      </c>
      <c r="C437" s="244"/>
      <c r="D437" s="16">
        <f>SUM(D431,D435)</f>
        <v>320917</v>
      </c>
      <c r="E437" s="16">
        <f>SUM(E431,E435)</f>
        <v>93246</v>
      </c>
      <c r="F437" s="16">
        <f>SUM(F431,F435)</f>
        <v>6363</v>
      </c>
      <c r="G437" s="16">
        <f>SUM(G431,G435)</f>
        <v>27</v>
      </c>
      <c r="H437" s="16">
        <f>SUM(H431,H435)</f>
        <v>420553</v>
      </c>
      <c r="I437" s="5"/>
      <c r="J437" s="5"/>
      <c r="K437" s="243" t="s">
        <v>0</v>
      </c>
      <c r="L437" s="244"/>
      <c r="M437" s="27">
        <f>SUM(M431,M435)</f>
        <v>0.76308336880250538</v>
      </c>
      <c r="N437" s="27">
        <f>SUM(N431,N435)</f>
        <v>0.22172235128509368</v>
      </c>
      <c r="O437" s="28">
        <f>SUM(O431,O435)</f>
        <v>1.5130078729672598E-2</v>
      </c>
      <c r="P437" s="28">
        <f>SUM(P431,P435)</f>
        <v>6.4201182728455147E-5</v>
      </c>
      <c r="Q437" s="18">
        <f>SUM(Q431,Q435)</f>
        <v>1.0000000000000002</v>
      </c>
    </row>
    <row r="438" spans="2:17" ht="20.149999999999999" customHeight="1" x14ac:dyDescent="0.35">
      <c r="B438" s="232" t="s">
        <v>8</v>
      </c>
      <c r="C438" s="234" t="s">
        <v>15</v>
      </c>
      <c r="D438" s="235"/>
      <c r="E438" s="234" t="s">
        <v>16</v>
      </c>
      <c r="F438" s="235"/>
      <c r="G438" s="236" t="s">
        <v>1</v>
      </c>
      <c r="H438" s="237"/>
      <c r="I438" s="5"/>
      <c r="J438" s="5"/>
      <c r="K438" s="232" t="s">
        <v>8</v>
      </c>
      <c r="L438" s="234" t="s">
        <v>15</v>
      </c>
      <c r="M438" s="235"/>
      <c r="N438" s="234" t="s">
        <v>16</v>
      </c>
      <c r="O438" s="235"/>
      <c r="P438" s="236" t="s">
        <v>1</v>
      </c>
      <c r="Q438" s="237"/>
    </row>
    <row r="439" spans="2:17" ht="20.149999999999999" customHeight="1" x14ac:dyDescent="0.35">
      <c r="B439" s="233"/>
      <c r="C439" s="245">
        <f>SUM(H429,H433)</f>
        <v>322314</v>
      </c>
      <c r="D439" s="246"/>
      <c r="E439" s="245">
        <f>SUM(H430,H434)</f>
        <v>98239</v>
      </c>
      <c r="F439" s="246"/>
      <c r="G439" s="245">
        <f>SUM(H429,H430,H433,H434)</f>
        <v>420553</v>
      </c>
      <c r="H439" s="246"/>
      <c r="I439" s="5"/>
      <c r="J439" s="5"/>
      <c r="K439" s="233"/>
      <c r="L439" s="247">
        <f>SUM(Q429,Q433)</f>
        <v>0.76640518555330728</v>
      </c>
      <c r="M439" s="248"/>
      <c r="N439" s="247">
        <f>SUM(Q430,Q434)</f>
        <v>0.23359481444669281</v>
      </c>
      <c r="O439" s="248"/>
      <c r="P439" s="249">
        <f>SUM(Q429,Q430,Q433,Q434)</f>
        <v>1</v>
      </c>
      <c r="Q439" s="250"/>
    </row>
    <row r="440" spans="2:17" x14ac:dyDescent="0.35">
      <c r="B440" s="145"/>
      <c r="C440" s="145"/>
      <c r="D440" s="145"/>
      <c r="E440" s="146" t="s">
        <v>97</v>
      </c>
      <c r="F440" s="145"/>
      <c r="G440" s="145"/>
      <c r="H440" s="145"/>
      <c r="K440" s="145"/>
      <c r="L440" s="145"/>
      <c r="M440" s="145"/>
      <c r="N440" s="144" t="s">
        <v>97</v>
      </c>
      <c r="O440" s="145"/>
      <c r="P440" s="145"/>
      <c r="Q440" s="145"/>
    </row>
    <row r="441" spans="2:17" x14ac:dyDescent="0.35">
      <c r="B441" s="231" t="s">
        <v>141</v>
      </c>
      <c r="C441" s="231"/>
      <c r="D441" s="231"/>
      <c r="E441" s="231"/>
      <c r="F441" s="231"/>
      <c r="G441" s="231"/>
      <c r="H441" s="231"/>
      <c r="K441" s="231" t="s">
        <v>141</v>
      </c>
      <c r="L441" s="231"/>
      <c r="M441" s="231"/>
      <c r="N441" s="231"/>
      <c r="O441" s="231"/>
      <c r="P441" s="231"/>
      <c r="Q441" s="231"/>
    </row>
  </sheetData>
  <mergeCells count="632">
    <mergeCell ref="K10:Q10"/>
    <mergeCell ref="B11:B12"/>
    <mergeCell ref="K11:K12"/>
    <mergeCell ref="K13:L13"/>
    <mergeCell ref="B14:H14"/>
    <mergeCell ref="K14:Q14"/>
    <mergeCell ref="K4:Q5"/>
    <mergeCell ref="B7:B8"/>
    <mergeCell ref="K7:K8"/>
    <mergeCell ref="B9:C9"/>
    <mergeCell ref="K9:L9"/>
    <mergeCell ref="B4:H5"/>
    <mergeCell ref="B13:C13"/>
    <mergeCell ref="B10:H10"/>
    <mergeCell ref="N16:O16"/>
    <mergeCell ref="P16:Q16"/>
    <mergeCell ref="C17:D17"/>
    <mergeCell ref="E17:F17"/>
    <mergeCell ref="G17:H17"/>
    <mergeCell ref="L17:M17"/>
    <mergeCell ref="N17:O17"/>
    <mergeCell ref="P17:Q17"/>
    <mergeCell ref="B15:C15"/>
    <mergeCell ref="K15:L15"/>
    <mergeCell ref="B16:B17"/>
    <mergeCell ref="C16:D16"/>
    <mergeCell ref="E16:F16"/>
    <mergeCell ref="G16:H16"/>
    <mergeCell ref="K16:K17"/>
    <mergeCell ref="L16:M16"/>
    <mergeCell ref="B32:H32"/>
    <mergeCell ref="K32:Q32"/>
    <mergeCell ref="B33:B34"/>
    <mergeCell ref="K33:K34"/>
    <mergeCell ref="B35:C35"/>
    <mergeCell ref="K35:L35"/>
    <mergeCell ref="B26:H27"/>
    <mergeCell ref="K26:Q27"/>
    <mergeCell ref="B29:B30"/>
    <mergeCell ref="K29:K30"/>
    <mergeCell ref="B31:C31"/>
    <mergeCell ref="K31:L31"/>
    <mergeCell ref="B36:H36"/>
    <mergeCell ref="K36:Q36"/>
    <mergeCell ref="B37:C37"/>
    <mergeCell ref="K37:L37"/>
    <mergeCell ref="B38:B39"/>
    <mergeCell ref="C38:D38"/>
    <mergeCell ref="E38:F38"/>
    <mergeCell ref="G38:H38"/>
    <mergeCell ref="K38:K39"/>
    <mergeCell ref="L38:M38"/>
    <mergeCell ref="N38:O38"/>
    <mergeCell ref="P38:Q38"/>
    <mergeCell ref="C39:D39"/>
    <mergeCell ref="E39:F39"/>
    <mergeCell ref="G39:H39"/>
    <mergeCell ref="L39:M39"/>
    <mergeCell ref="B51:C51"/>
    <mergeCell ref="K51:L51"/>
    <mergeCell ref="B52:H52"/>
    <mergeCell ref="K52:Q52"/>
    <mergeCell ref="B53:B54"/>
    <mergeCell ref="K53:K54"/>
    <mergeCell ref="N39:O39"/>
    <mergeCell ref="P39:Q39"/>
    <mergeCell ref="B46:H47"/>
    <mergeCell ref="K46:Q47"/>
    <mergeCell ref="B49:B50"/>
    <mergeCell ref="K49:K50"/>
    <mergeCell ref="B58:B59"/>
    <mergeCell ref="C58:D58"/>
    <mergeCell ref="E58:F58"/>
    <mergeCell ref="G58:H58"/>
    <mergeCell ref="K58:K59"/>
    <mergeCell ref="B55:C55"/>
    <mergeCell ref="K55:L55"/>
    <mergeCell ref="B56:H56"/>
    <mergeCell ref="K56:Q56"/>
    <mergeCell ref="B57:C57"/>
    <mergeCell ref="K57:L57"/>
    <mergeCell ref="L58:M58"/>
    <mergeCell ref="N58:O58"/>
    <mergeCell ref="P58:Q58"/>
    <mergeCell ref="C59:D59"/>
    <mergeCell ref="E59:F59"/>
    <mergeCell ref="G59:H59"/>
    <mergeCell ref="L59:M59"/>
    <mergeCell ref="N59:O59"/>
    <mergeCell ref="P59:Q59"/>
    <mergeCell ref="B72:H72"/>
    <mergeCell ref="K72:Q72"/>
    <mergeCell ref="B73:B74"/>
    <mergeCell ref="K73:K74"/>
    <mergeCell ref="B75:C75"/>
    <mergeCell ref="K75:L75"/>
    <mergeCell ref="B66:H67"/>
    <mergeCell ref="K66:Q67"/>
    <mergeCell ref="B69:B70"/>
    <mergeCell ref="K69:K70"/>
    <mergeCell ref="B71:C71"/>
    <mergeCell ref="K71:L71"/>
    <mergeCell ref="B76:H76"/>
    <mergeCell ref="K76:Q76"/>
    <mergeCell ref="B77:C77"/>
    <mergeCell ref="K77:L77"/>
    <mergeCell ref="B78:B79"/>
    <mergeCell ref="C78:D78"/>
    <mergeCell ref="E78:F78"/>
    <mergeCell ref="G78:H78"/>
    <mergeCell ref="K78:K79"/>
    <mergeCell ref="L78:M78"/>
    <mergeCell ref="N78:O78"/>
    <mergeCell ref="P78:Q78"/>
    <mergeCell ref="C79:D79"/>
    <mergeCell ref="E79:F79"/>
    <mergeCell ref="G79:H79"/>
    <mergeCell ref="L79:M79"/>
    <mergeCell ref="B92:C92"/>
    <mergeCell ref="K92:L92"/>
    <mergeCell ref="B93:H93"/>
    <mergeCell ref="K93:Q93"/>
    <mergeCell ref="B94:B95"/>
    <mergeCell ref="K94:K95"/>
    <mergeCell ref="N79:O79"/>
    <mergeCell ref="P79:Q79"/>
    <mergeCell ref="B87:H88"/>
    <mergeCell ref="K87:Q88"/>
    <mergeCell ref="B90:B91"/>
    <mergeCell ref="K90:K91"/>
    <mergeCell ref="B99:B100"/>
    <mergeCell ref="C99:D99"/>
    <mergeCell ref="E99:F99"/>
    <mergeCell ref="G99:H99"/>
    <mergeCell ref="K99:K100"/>
    <mergeCell ref="B96:C96"/>
    <mergeCell ref="K96:L96"/>
    <mergeCell ref="B97:H97"/>
    <mergeCell ref="K97:Q97"/>
    <mergeCell ref="B98:C98"/>
    <mergeCell ref="K98:L98"/>
    <mergeCell ref="L99:M99"/>
    <mergeCell ref="N99:O99"/>
    <mergeCell ref="P99:Q99"/>
    <mergeCell ref="C100:D100"/>
    <mergeCell ref="E100:F100"/>
    <mergeCell ref="G100:H100"/>
    <mergeCell ref="L100:M100"/>
    <mergeCell ref="N100:O100"/>
    <mergeCell ref="P100:Q100"/>
    <mergeCell ref="B114:H114"/>
    <mergeCell ref="K114:Q114"/>
    <mergeCell ref="B115:B116"/>
    <mergeCell ref="K115:K116"/>
    <mergeCell ref="B117:C117"/>
    <mergeCell ref="K117:L117"/>
    <mergeCell ref="B108:H109"/>
    <mergeCell ref="K108:Q109"/>
    <mergeCell ref="B111:B112"/>
    <mergeCell ref="K111:K112"/>
    <mergeCell ref="B113:C113"/>
    <mergeCell ref="K113:L113"/>
    <mergeCell ref="B118:H118"/>
    <mergeCell ref="K118:Q118"/>
    <mergeCell ref="B119:C119"/>
    <mergeCell ref="K119:L119"/>
    <mergeCell ref="B120:B121"/>
    <mergeCell ref="C120:D120"/>
    <mergeCell ref="E120:F120"/>
    <mergeCell ref="G120:H120"/>
    <mergeCell ref="K120:K121"/>
    <mergeCell ref="L120:M120"/>
    <mergeCell ref="N120:O120"/>
    <mergeCell ref="P120:Q120"/>
    <mergeCell ref="C121:D121"/>
    <mergeCell ref="E121:F121"/>
    <mergeCell ref="G121:H121"/>
    <mergeCell ref="L121:M121"/>
    <mergeCell ref="B134:C134"/>
    <mergeCell ref="K134:L134"/>
    <mergeCell ref="B135:H135"/>
    <mergeCell ref="K135:Q135"/>
    <mergeCell ref="B136:B137"/>
    <mergeCell ref="K136:K137"/>
    <mergeCell ref="N121:O121"/>
    <mergeCell ref="P121:Q121"/>
    <mergeCell ref="B129:H130"/>
    <mergeCell ref="K129:Q130"/>
    <mergeCell ref="B132:B133"/>
    <mergeCell ref="K132:K133"/>
    <mergeCell ref="B141:B142"/>
    <mergeCell ref="C141:D141"/>
    <mergeCell ref="E141:F141"/>
    <mergeCell ref="G141:H141"/>
    <mergeCell ref="K141:K142"/>
    <mergeCell ref="B138:C138"/>
    <mergeCell ref="K138:L138"/>
    <mergeCell ref="B139:H139"/>
    <mergeCell ref="K139:Q139"/>
    <mergeCell ref="B140:C140"/>
    <mergeCell ref="K140:L140"/>
    <mergeCell ref="L141:M141"/>
    <mergeCell ref="N141:O141"/>
    <mergeCell ref="P141:Q141"/>
    <mergeCell ref="C142:D142"/>
    <mergeCell ref="E142:F142"/>
    <mergeCell ref="G142:H142"/>
    <mergeCell ref="L142:M142"/>
    <mergeCell ref="N142:O142"/>
    <mergeCell ref="P142:Q142"/>
    <mergeCell ref="B156:H156"/>
    <mergeCell ref="K156:Q156"/>
    <mergeCell ref="B157:B158"/>
    <mergeCell ref="K157:K158"/>
    <mergeCell ref="B159:C159"/>
    <mergeCell ref="K159:L159"/>
    <mergeCell ref="B150:H151"/>
    <mergeCell ref="K150:Q151"/>
    <mergeCell ref="B153:B154"/>
    <mergeCell ref="K153:K154"/>
    <mergeCell ref="B155:C155"/>
    <mergeCell ref="K155:L155"/>
    <mergeCell ref="B160:H160"/>
    <mergeCell ref="K160:Q160"/>
    <mergeCell ref="B161:C161"/>
    <mergeCell ref="K161:L161"/>
    <mergeCell ref="B162:B163"/>
    <mergeCell ref="C162:D162"/>
    <mergeCell ref="E162:F162"/>
    <mergeCell ref="G162:H162"/>
    <mergeCell ref="K162:K163"/>
    <mergeCell ref="L162:M162"/>
    <mergeCell ref="N162:O162"/>
    <mergeCell ref="P162:Q162"/>
    <mergeCell ref="C163:D163"/>
    <mergeCell ref="E163:F163"/>
    <mergeCell ref="G163:H163"/>
    <mergeCell ref="L163:M163"/>
    <mergeCell ref="B177:C177"/>
    <mergeCell ref="K177:L177"/>
    <mergeCell ref="B178:H178"/>
    <mergeCell ref="K178:Q178"/>
    <mergeCell ref="B179:B180"/>
    <mergeCell ref="K179:K180"/>
    <mergeCell ref="N163:O163"/>
    <mergeCell ref="P163:Q163"/>
    <mergeCell ref="B172:H173"/>
    <mergeCell ref="K172:Q173"/>
    <mergeCell ref="B175:B176"/>
    <mergeCell ref="K175:K176"/>
    <mergeCell ref="B184:B185"/>
    <mergeCell ref="C184:D184"/>
    <mergeCell ref="E184:F184"/>
    <mergeCell ref="G184:H184"/>
    <mergeCell ref="K184:K185"/>
    <mergeCell ref="B181:C181"/>
    <mergeCell ref="K181:L181"/>
    <mergeCell ref="B182:H182"/>
    <mergeCell ref="K182:Q182"/>
    <mergeCell ref="B183:C183"/>
    <mergeCell ref="K183:L183"/>
    <mergeCell ref="L184:M184"/>
    <mergeCell ref="N184:O184"/>
    <mergeCell ref="P184:Q184"/>
    <mergeCell ref="C185:D185"/>
    <mergeCell ref="E185:F185"/>
    <mergeCell ref="G185:H185"/>
    <mergeCell ref="L185:M185"/>
    <mergeCell ref="N185:O185"/>
    <mergeCell ref="P185:Q185"/>
    <mergeCell ref="B200:H200"/>
    <mergeCell ref="K200:Q200"/>
    <mergeCell ref="B201:B202"/>
    <mergeCell ref="K201:K202"/>
    <mergeCell ref="B203:C203"/>
    <mergeCell ref="K203:L203"/>
    <mergeCell ref="B194:H195"/>
    <mergeCell ref="K194:Q195"/>
    <mergeCell ref="B197:B198"/>
    <mergeCell ref="K197:K198"/>
    <mergeCell ref="B199:C199"/>
    <mergeCell ref="K199:L199"/>
    <mergeCell ref="B204:H204"/>
    <mergeCell ref="K204:Q204"/>
    <mergeCell ref="B205:C205"/>
    <mergeCell ref="K205:L205"/>
    <mergeCell ref="B206:B207"/>
    <mergeCell ref="C206:D206"/>
    <mergeCell ref="E206:F206"/>
    <mergeCell ref="G206:H206"/>
    <mergeCell ref="K206:K207"/>
    <mergeCell ref="L206:M206"/>
    <mergeCell ref="N206:O206"/>
    <mergeCell ref="P206:Q206"/>
    <mergeCell ref="C207:D207"/>
    <mergeCell ref="E207:F207"/>
    <mergeCell ref="G207:H207"/>
    <mergeCell ref="L207:M207"/>
    <mergeCell ref="B220:C220"/>
    <mergeCell ref="K220:L220"/>
    <mergeCell ref="B221:H221"/>
    <mergeCell ref="K221:Q221"/>
    <mergeCell ref="B222:B223"/>
    <mergeCell ref="K222:K223"/>
    <mergeCell ref="N207:O207"/>
    <mergeCell ref="P207:Q207"/>
    <mergeCell ref="B215:H216"/>
    <mergeCell ref="K215:Q216"/>
    <mergeCell ref="B218:B219"/>
    <mergeCell ref="K218:K219"/>
    <mergeCell ref="B227:B228"/>
    <mergeCell ref="C227:D227"/>
    <mergeCell ref="E227:F227"/>
    <mergeCell ref="G227:H227"/>
    <mergeCell ref="K227:K228"/>
    <mergeCell ref="B224:C224"/>
    <mergeCell ref="K224:L224"/>
    <mergeCell ref="B225:H225"/>
    <mergeCell ref="K225:Q225"/>
    <mergeCell ref="B226:C226"/>
    <mergeCell ref="K226:L226"/>
    <mergeCell ref="L227:M227"/>
    <mergeCell ref="N227:O227"/>
    <mergeCell ref="P227:Q227"/>
    <mergeCell ref="C228:D228"/>
    <mergeCell ref="E228:F228"/>
    <mergeCell ref="G228:H228"/>
    <mergeCell ref="L228:M228"/>
    <mergeCell ref="N228:O228"/>
    <mergeCell ref="P228:Q228"/>
    <mergeCell ref="B242:H242"/>
    <mergeCell ref="K242:Q242"/>
    <mergeCell ref="B243:B244"/>
    <mergeCell ref="K243:K244"/>
    <mergeCell ref="B245:C245"/>
    <mergeCell ref="K245:L245"/>
    <mergeCell ref="B236:H237"/>
    <mergeCell ref="K236:Q237"/>
    <mergeCell ref="B239:B240"/>
    <mergeCell ref="K239:K240"/>
    <mergeCell ref="B241:C241"/>
    <mergeCell ref="K241:L241"/>
    <mergeCell ref="B246:H246"/>
    <mergeCell ref="K246:Q246"/>
    <mergeCell ref="B247:C247"/>
    <mergeCell ref="K247:L247"/>
    <mergeCell ref="B248:B249"/>
    <mergeCell ref="C248:D248"/>
    <mergeCell ref="E248:F248"/>
    <mergeCell ref="G248:H248"/>
    <mergeCell ref="K248:K249"/>
    <mergeCell ref="L248:M248"/>
    <mergeCell ref="N248:O248"/>
    <mergeCell ref="P248:Q248"/>
    <mergeCell ref="C249:D249"/>
    <mergeCell ref="E249:F249"/>
    <mergeCell ref="G249:H249"/>
    <mergeCell ref="L249:M249"/>
    <mergeCell ref="B262:C262"/>
    <mergeCell ref="K262:L262"/>
    <mergeCell ref="B263:H263"/>
    <mergeCell ref="K263:Q263"/>
    <mergeCell ref="B264:B265"/>
    <mergeCell ref="K264:K265"/>
    <mergeCell ref="N249:O249"/>
    <mergeCell ref="P249:Q249"/>
    <mergeCell ref="B257:H258"/>
    <mergeCell ref="K257:Q258"/>
    <mergeCell ref="B260:B261"/>
    <mergeCell ref="K260:K261"/>
    <mergeCell ref="B269:B270"/>
    <mergeCell ref="C269:D269"/>
    <mergeCell ref="E269:F269"/>
    <mergeCell ref="G269:H269"/>
    <mergeCell ref="K269:K270"/>
    <mergeCell ref="B266:C266"/>
    <mergeCell ref="K266:L266"/>
    <mergeCell ref="B267:H267"/>
    <mergeCell ref="K267:Q267"/>
    <mergeCell ref="B268:C268"/>
    <mergeCell ref="K268:L268"/>
    <mergeCell ref="L269:M269"/>
    <mergeCell ref="N269:O269"/>
    <mergeCell ref="P269:Q269"/>
    <mergeCell ref="C270:D270"/>
    <mergeCell ref="E270:F270"/>
    <mergeCell ref="G270:H270"/>
    <mergeCell ref="L270:M270"/>
    <mergeCell ref="N270:O270"/>
    <mergeCell ref="P270:Q270"/>
    <mergeCell ref="B283:H283"/>
    <mergeCell ref="K283:Q283"/>
    <mergeCell ref="B284:B285"/>
    <mergeCell ref="K284:K285"/>
    <mergeCell ref="B286:C286"/>
    <mergeCell ref="K286:L286"/>
    <mergeCell ref="B277:H278"/>
    <mergeCell ref="K277:Q278"/>
    <mergeCell ref="B280:B281"/>
    <mergeCell ref="K280:K281"/>
    <mergeCell ref="B282:C282"/>
    <mergeCell ref="K282:L282"/>
    <mergeCell ref="B287:H287"/>
    <mergeCell ref="K287:Q287"/>
    <mergeCell ref="B288:C288"/>
    <mergeCell ref="K288:L288"/>
    <mergeCell ref="B289:B290"/>
    <mergeCell ref="C289:D289"/>
    <mergeCell ref="E289:F289"/>
    <mergeCell ref="G289:H289"/>
    <mergeCell ref="K289:K290"/>
    <mergeCell ref="L289:M289"/>
    <mergeCell ref="N289:O289"/>
    <mergeCell ref="P289:Q289"/>
    <mergeCell ref="C290:D290"/>
    <mergeCell ref="E290:F290"/>
    <mergeCell ref="G290:H290"/>
    <mergeCell ref="L290:M290"/>
    <mergeCell ref="B303:C303"/>
    <mergeCell ref="K303:L303"/>
    <mergeCell ref="B304:H304"/>
    <mergeCell ref="K304:Q304"/>
    <mergeCell ref="B305:B306"/>
    <mergeCell ref="K305:K306"/>
    <mergeCell ref="N290:O290"/>
    <mergeCell ref="P290:Q290"/>
    <mergeCell ref="B298:H299"/>
    <mergeCell ref="K298:Q299"/>
    <mergeCell ref="B301:B302"/>
    <mergeCell ref="K301:K302"/>
    <mergeCell ref="B310:B311"/>
    <mergeCell ref="C310:D310"/>
    <mergeCell ref="E310:F310"/>
    <mergeCell ref="G310:H310"/>
    <mergeCell ref="K310:K311"/>
    <mergeCell ref="B307:C307"/>
    <mergeCell ref="K307:L307"/>
    <mergeCell ref="B308:H308"/>
    <mergeCell ref="K308:Q308"/>
    <mergeCell ref="B309:C309"/>
    <mergeCell ref="K309:L309"/>
    <mergeCell ref="L310:M310"/>
    <mergeCell ref="N310:O310"/>
    <mergeCell ref="P310:Q310"/>
    <mergeCell ref="C311:D311"/>
    <mergeCell ref="E311:F311"/>
    <mergeCell ref="G311:H311"/>
    <mergeCell ref="L311:M311"/>
    <mergeCell ref="N311:O311"/>
    <mergeCell ref="P311:Q311"/>
    <mergeCell ref="B326:H326"/>
    <mergeCell ref="K326:Q326"/>
    <mergeCell ref="B327:B328"/>
    <mergeCell ref="K327:K328"/>
    <mergeCell ref="B329:C329"/>
    <mergeCell ref="K329:L329"/>
    <mergeCell ref="B320:H321"/>
    <mergeCell ref="K320:Q321"/>
    <mergeCell ref="B323:B324"/>
    <mergeCell ref="K323:K324"/>
    <mergeCell ref="B325:C325"/>
    <mergeCell ref="K325:L325"/>
    <mergeCell ref="B330:H330"/>
    <mergeCell ref="K330:Q330"/>
    <mergeCell ref="B331:C331"/>
    <mergeCell ref="K331:L331"/>
    <mergeCell ref="B332:B333"/>
    <mergeCell ref="C332:D332"/>
    <mergeCell ref="E332:F332"/>
    <mergeCell ref="G332:H332"/>
    <mergeCell ref="K332:K333"/>
    <mergeCell ref="L332:M332"/>
    <mergeCell ref="N332:O332"/>
    <mergeCell ref="P332:Q332"/>
    <mergeCell ref="C333:D333"/>
    <mergeCell ref="E333:F333"/>
    <mergeCell ref="G333:H333"/>
    <mergeCell ref="L333:M333"/>
    <mergeCell ref="B346:C346"/>
    <mergeCell ref="K346:L346"/>
    <mergeCell ref="B347:H347"/>
    <mergeCell ref="K347:Q347"/>
    <mergeCell ref="B348:B349"/>
    <mergeCell ref="K348:K349"/>
    <mergeCell ref="N333:O333"/>
    <mergeCell ref="P333:Q333"/>
    <mergeCell ref="B341:H342"/>
    <mergeCell ref="K341:Q342"/>
    <mergeCell ref="B344:B345"/>
    <mergeCell ref="K344:K345"/>
    <mergeCell ref="B353:B354"/>
    <mergeCell ref="C353:D353"/>
    <mergeCell ref="E353:F353"/>
    <mergeCell ref="G353:H353"/>
    <mergeCell ref="K353:K354"/>
    <mergeCell ref="B350:C350"/>
    <mergeCell ref="K350:L350"/>
    <mergeCell ref="B351:H351"/>
    <mergeCell ref="K351:Q351"/>
    <mergeCell ref="B352:C352"/>
    <mergeCell ref="K352:L352"/>
    <mergeCell ref="L353:M353"/>
    <mergeCell ref="N353:O353"/>
    <mergeCell ref="P353:Q353"/>
    <mergeCell ref="C354:D354"/>
    <mergeCell ref="E354:F354"/>
    <mergeCell ref="G354:H354"/>
    <mergeCell ref="L354:M354"/>
    <mergeCell ref="N354:O354"/>
    <mergeCell ref="P354:Q354"/>
    <mergeCell ref="B368:H368"/>
    <mergeCell ref="K368:Q368"/>
    <mergeCell ref="B369:B370"/>
    <mergeCell ref="K369:K370"/>
    <mergeCell ref="B371:C371"/>
    <mergeCell ref="K371:L371"/>
    <mergeCell ref="B362:H363"/>
    <mergeCell ref="K362:Q363"/>
    <mergeCell ref="B365:B366"/>
    <mergeCell ref="K365:K366"/>
    <mergeCell ref="B367:C367"/>
    <mergeCell ref="K367:L367"/>
    <mergeCell ref="B372:H372"/>
    <mergeCell ref="K372:Q372"/>
    <mergeCell ref="B373:C373"/>
    <mergeCell ref="K373:L373"/>
    <mergeCell ref="B374:B375"/>
    <mergeCell ref="C374:D374"/>
    <mergeCell ref="E374:F374"/>
    <mergeCell ref="G374:H374"/>
    <mergeCell ref="K374:K375"/>
    <mergeCell ref="L374:M374"/>
    <mergeCell ref="N374:O374"/>
    <mergeCell ref="P374:Q374"/>
    <mergeCell ref="C375:D375"/>
    <mergeCell ref="E375:F375"/>
    <mergeCell ref="G375:H375"/>
    <mergeCell ref="L375:M375"/>
    <mergeCell ref="B388:C388"/>
    <mergeCell ref="K388:L388"/>
    <mergeCell ref="B389:H389"/>
    <mergeCell ref="K389:Q389"/>
    <mergeCell ref="B390:B391"/>
    <mergeCell ref="K390:K391"/>
    <mergeCell ref="N375:O375"/>
    <mergeCell ref="P375:Q375"/>
    <mergeCell ref="B383:H384"/>
    <mergeCell ref="K383:Q384"/>
    <mergeCell ref="B386:B387"/>
    <mergeCell ref="K386:K387"/>
    <mergeCell ref="B395:B396"/>
    <mergeCell ref="C395:D395"/>
    <mergeCell ref="E395:F395"/>
    <mergeCell ref="G395:H395"/>
    <mergeCell ref="K395:K396"/>
    <mergeCell ref="B392:C392"/>
    <mergeCell ref="K392:L392"/>
    <mergeCell ref="B393:H393"/>
    <mergeCell ref="K393:Q393"/>
    <mergeCell ref="B394:C394"/>
    <mergeCell ref="K394:L394"/>
    <mergeCell ref="L395:M395"/>
    <mergeCell ref="N395:O395"/>
    <mergeCell ref="P395:Q395"/>
    <mergeCell ref="C396:D396"/>
    <mergeCell ref="E396:F396"/>
    <mergeCell ref="G396:H396"/>
    <mergeCell ref="L396:M396"/>
    <mergeCell ref="N396:O396"/>
    <mergeCell ref="P396:Q396"/>
    <mergeCell ref="B410:H410"/>
    <mergeCell ref="K410:Q410"/>
    <mergeCell ref="B411:B412"/>
    <mergeCell ref="K411:K412"/>
    <mergeCell ref="B413:C413"/>
    <mergeCell ref="K413:L413"/>
    <mergeCell ref="B404:H405"/>
    <mergeCell ref="K404:Q405"/>
    <mergeCell ref="B407:B408"/>
    <mergeCell ref="K407:K408"/>
    <mergeCell ref="B409:C409"/>
    <mergeCell ref="K409:L409"/>
    <mergeCell ref="B414:H414"/>
    <mergeCell ref="K414:Q414"/>
    <mergeCell ref="B415:C415"/>
    <mergeCell ref="K415:L415"/>
    <mergeCell ref="B416:B417"/>
    <mergeCell ref="C416:D416"/>
    <mergeCell ref="E416:F416"/>
    <mergeCell ref="G416:H416"/>
    <mergeCell ref="K416:K417"/>
    <mergeCell ref="L416:M416"/>
    <mergeCell ref="N416:O416"/>
    <mergeCell ref="P416:Q416"/>
    <mergeCell ref="C417:D417"/>
    <mergeCell ref="E417:F417"/>
    <mergeCell ref="G417:H417"/>
    <mergeCell ref="L417:M417"/>
    <mergeCell ref="B431:C431"/>
    <mergeCell ref="K431:L431"/>
    <mergeCell ref="B432:H432"/>
    <mergeCell ref="K432:Q432"/>
    <mergeCell ref="B433:B434"/>
    <mergeCell ref="K433:K434"/>
    <mergeCell ref="N417:O417"/>
    <mergeCell ref="P417:Q417"/>
    <mergeCell ref="B426:H427"/>
    <mergeCell ref="K426:Q427"/>
    <mergeCell ref="B429:B430"/>
    <mergeCell ref="K429:K430"/>
    <mergeCell ref="B441:H441"/>
    <mergeCell ref="K441:Q441"/>
    <mergeCell ref="B438:B439"/>
    <mergeCell ref="C438:D438"/>
    <mergeCell ref="E438:F438"/>
    <mergeCell ref="G438:H438"/>
    <mergeCell ref="K438:K439"/>
    <mergeCell ref="B435:C435"/>
    <mergeCell ref="K435:L435"/>
    <mergeCell ref="B436:H436"/>
    <mergeCell ref="K436:Q436"/>
    <mergeCell ref="B437:C437"/>
    <mergeCell ref="K437:L437"/>
    <mergeCell ref="L438:M438"/>
    <mergeCell ref="N438:O438"/>
    <mergeCell ref="P438:Q438"/>
    <mergeCell ref="C439:D439"/>
    <mergeCell ref="E439:F439"/>
    <mergeCell ref="G439:H439"/>
    <mergeCell ref="L439:M439"/>
    <mergeCell ref="N439:O439"/>
    <mergeCell ref="P439:Q439"/>
  </mergeCells>
  <pageMargins left="0" right="0" top="0.75" bottom="0" header="0.25" footer="0"/>
  <pageSetup scale="10" fitToWidth="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Q91"/>
  <sheetViews>
    <sheetView rightToLeft="1" zoomScale="75" zoomScaleNormal="75" workbookViewId="0">
      <selection activeCell="D1" sqref="D1"/>
    </sheetView>
  </sheetViews>
  <sheetFormatPr defaultRowHeight="14.5" x14ac:dyDescent="0.35"/>
  <cols>
    <col min="1" max="1" width="20.7265625" customWidth="1"/>
    <col min="2" max="3" width="8.7265625" customWidth="1"/>
    <col min="4" max="4" width="10" customWidth="1"/>
    <col min="5" max="5" width="8.26953125" customWidth="1"/>
    <col min="6" max="6" width="0.81640625" customWidth="1"/>
    <col min="7" max="7" width="8.7265625" customWidth="1"/>
    <col min="8" max="8" width="8.1796875" customWidth="1"/>
    <col min="9" max="9" width="10.1796875" customWidth="1"/>
    <col min="10" max="10" width="9" customWidth="1"/>
    <col min="11" max="11" width="0.81640625" customWidth="1"/>
    <col min="12" max="12" width="10.453125" customWidth="1"/>
    <col min="13" max="13" width="9.7265625" customWidth="1"/>
    <col min="14" max="14" width="11.1796875" customWidth="1"/>
    <col min="15" max="15" width="8.1796875" customWidth="1"/>
    <col min="16" max="16" width="17.81640625" customWidth="1"/>
  </cols>
  <sheetData>
    <row r="2" spans="1:16" ht="15" thickBot="1" x14ac:dyDescent="0.4"/>
    <row r="3" spans="1:16" ht="15" customHeight="1" x14ac:dyDescent="0.35">
      <c r="A3" s="317" t="s">
        <v>288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9"/>
    </row>
    <row r="4" spans="1:16" ht="15" customHeight="1" x14ac:dyDescent="0.35">
      <c r="A4" s="320"/>
      <c r="B4" s="321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2"/>
    </row>
    <row r="5" spans="1:16" ht="15.75" customHeight="1" thickBot="1" x14ac:dyDescent="0.4">
      <c r="A5" s="323"/>
      <c r="B5" s="324"/>
      <c r="C5" s="324"/>
      <c r="D5" s="324"/>
      <c r="E5" s="324"/>
      <c r="F5" s="324"/>
      <c r="G5" s="324"/>
      <c r="H5" s="324"/>
      <c r="I5" s="324"/>
      <c r="J5" s="324"/>
      <c r="K5" s="324"/>
      <c r="L5" s="324"/>
      <c r="M5" s="324"/>
      <c r="N5" s="324"/>
      <c r="O5" s="324"/>
      <c r="P5" s="325"/>
    </row>
    <row r="6" spans="1:16" ht="20.149999999999999" customHeight="1" x14ac:dyDescent="0.35">
      <c r="A6" s="276" t="s">
        <v>21</v>
      </c>
      <c r="B6" s="289" t="s">
        <v>22</v>
      </c>
      <c r="C6" s="290"/>
      <c r="D6" s="290"/>
      <c r="E6" s="291"/>
      <c r="F6" s="29"/>
      <c r="G6" s="289" t="s">
        <v>23</v>
      </c>
      <c r="H6" s="290"/>
      <c r="I6" s="290"/>
      <c r="J6" s="291"/>
      <c r="K6" s="29"/>
      <c r="L6" s="326" t="s">
        <v>24</v>
      </c>
      <c r="M6" s="327"/>
      <c r="N6" s="327"/>
      <c r="O6" s="328"/>
      <c r="P6" s="303" t="s">
        <v>25</v>
      </c>
    </row>
    <row r="7" spans="1:16" ht="20.149999999999999" customHeight="1" x14ac:dyDescent="0.35">
      <c r="A7" s="276"/>
      <c r="B7" s="289"/>
      <c r="C7" s="290"/>
      <c r="D7" s="290"/>
      <c r="E7" s="291"/>
      <c r="F7" s="29"/>
      <c r="G7" s="289"/>
      <c r="H7" s="290"/>
      <c r="I7" s="290"/>
      <c r="J7" s="291"/>
      <c r="K7" s="29"/>
      <c r="L7" s="289"/>
      <c r="M7" s="290"/>
      <c r="N7" s="290"/>
      <c r="O7" s="329"/>
      <c r="P7" s="303"/>
    </row>
    <row r="8" spans="1:16" ht="20.149999999999999" customHeight="1" x14ac:dyDescent="0.35">
      <c r="A8" s="276"/>
      <c r="B8" s="292"/>
      <c r="C8" s="293"/>
      <c r="D8" s="293"/>
      <c r="E8" s="294"/>
      <c r="F8" s="29"/>
      <c r="G8" s="292"/>
      <c r="H8" s="293"/>
      <c r="I8" s="293"/>
      <c r="J8" s="294"/>
      <c r="K8" s="29"/>
      <c r="L8" s="292"/>
      <c r="M8" s="293"/>
      <c r="N8" s="293"/>
      <c r="O8" s="330"/>
      <c r="P8" s="303"/>
    </row>
    <row r="9" spans="1:16" ht="27" x14ac:dyDescent="0.35">
      <c r="A9" s="277"/>
      <c r="B9" s="6" t="s">
        <v>3</v>
      </c>
      <c r="C9" s="6" t="s">
        <v>4</v>
      </c>
      <c r="D9" s="6" t="s">
        <v>10</v>
      </c>
      <c r="E9" s="30" t="s">
        <v>5</v>
      </c>
      <c r="F9" s="29"/>
      <c r="G9" s="6" t="s">
        <v>3</v>
      </c>
      <c r="H9" s="6" t="s">
        <v>4</v>
      </c>
      <c r="I9" s="6" t="s">
        <v>10</v>
      </c>
      <c r="J9" s="30" t="s">
        <v>5</v>
      </c>
      <c r="K9" s="29"/>
      <c r="L9" s="6" t="s">
        <v>3</v>
      </c>
      <c r="M9" s="6" t="s">
        <v>4</v>
      </c>
      <c r="N9" s="6" t="s">
        <v>10</v>
      </c>
      <c r="O9" s="31" t="s">
        <v>5</v>
      </c>
      <c r="P9" s="304"/>
    </row>
    <row r="10" spans="1:16" ht="27" x14ac:dyDescent="0.35">
      <c r="A10" s="32" t="s">
        <v>26</v>
      </c>
      <c r="B10" s="33">
        <v>32526</v>
      </c>
      <c r="C10" s="33">
        <v>23880</v>
      </c>
      <c r="D10" s="33">
        <v>629</v>
      </c>
      <c r="E10" s="34">
        <v>11</v>
      </c>
      <c r="F10" s="29"/>
      <c r="G10" s="33">
        <v>5016</v>
      </c>
      <c r="H10" s="33">
        <v>513</v>
      </c>
      <c r="I10" s="33">
        <v>0</v>
      </c>
      <c r="J10" s="33">
        <v>0</v>
      </c>
      <c r="K10" s="29"/>
      <c r="L10" s="33">
        <v>37542</v>
      </c>
      <c r="M10" s="33">
        <v>24393</v>
      </c>
      <c r="N10" s="33">
        <v>629</v>
      </c>
      <c r="O10" s="35">
        <v>11</v>
      </c>
      <c r="P10" s="36">
        <f t="shared" ref="P10:P29" si="0">SUM(B10:J10)</f>
        <v>62575</v>
      </c>
    </row>
    <row r="11" spans="1:16" ht="27" x14ac:dyDescent="0.35">
      <c r="A11" s="37" t="s">
        <v>27</v>
      </c>
      <c r="B11" s="38">
        <v>15563</v>
      </c>
      <c r="C11" s="38">
        <v>9777</v>
      </c>
      <c r="D11" s="38">
        <v>0</v>
      </c>
      <c r="E11" s="39">
        <v>0</v>
      </c>
      <c r="F11" s="29"/>
      <c r="G11" s="38">
        <v>365</v>
      </c>
      <c r="H11" s="38">
        <v>37</v>
      </c>
      <c r="I11" s="38">
        <v>0</v>
      </c>
      <c r="J11" s="38">
        <v>0</v>
      </c>
      <c r="K11" s="29"/>
      <c r="L11" s="38">
        <v>15928</v>
      </c>
      <c r="M11" s="38">
        <v>9814</v>
      </c>
      <c r="N11" s="38">
        <v>0</v>
      </c>
      <c r="O11" s="40">
        <v>0</v>
      </c>
      <c r="P11" s="36">
        <f t="shared" si="0"/>
        <v>25742</v>
      </c>
    </row>
    <row r="12" spans="1:16" ht="27" x14ac:dyDescent="0.35">
      <c r="A12" s="32" t="s">
        <v>28</v>
      </c>
      <c r="B12" s="33">
        <v>30561</v>
      </c>
      <c r="C12" s="33">
        <v>5456</v>
      </c>
      <c r="D12" s="33">
        <v>1679</v>
      </c>
      <c r="E12" s="34">
        <v>0</v>
      </c>
      <c r="F12" s="29"/>
      <c r="G12" s="33">
        <v>1244</v>
      </c>
      <c r="H12" s="33">
        <v>188</v>
      </c>
      <c r="I12" s="33">
        <v>2</v>
      </c>
      <c r="J12" s="33">
        <v>0</v>
      </c>
      <c r="K12" s="29"/>
      <c r="L12" s="33">
        <v>31805</v>
      </c>
      <c r="M12" s="33">
        <v>5644</v>
      </c>
      <c r="N12" s="33">
        <v>1681</v>
      </c>
      <c r="O12" s="35">
        <v>0</v>
      </c>
      <c r="P12" s="36">
        <f t="shared" si="0"/>
        <v>39130</v>
      </c>
    </row>
    <row r="13" spans="1:16" ht="27" x14ac:dyDescent="0.35">
      <c r="A13" s="37" t="s">
        <v>29</v>
      </c>
      <c r="B13" s="38">
        <v>34756</v>
      </c>
      <c r="C13" s="38">
        <v>3423</v>
      </c>
      <c r="D13" s="38">
        <v>0</v>
      </c>
      <c r="E13" s="39">
        <v>0</v>
      </c>
      <c r="F13" s="29"/>
      <c r="G13" s="38">
        <v>1856</v>
      </c>
      <c r="H13" s="38">
        <v>88</v>
      </c>
      <c r="I13" s="38">
        <v>0</v>
      </c>
      <c r="J13" s="38">
        <v>0</v>
      </c>
      <c r="K13" s="29"/>
      <c r="L13" s="38">
        <v>36612</v>
      </c>
      <c r="M13" s="38">
        <v>3511</v>
      </c>
      <c r="N13" s="38">
        <v>0</v>
      </c>
      <c r="O13" s="40">
        <v>0</v>
      </c>
      <c r="P13" s="36">
        <f t="shared" si="0"/>
        <v>40123</v>
      </c>
    </row>
    <row r="14" spans="1:16" ht="27" x14ac:dyDescent="0.35">
      <c r="A14" s="32" t="s">
        <v>30</v>
      </c>
      <c r="B14" s="33">
        <v>20021</v>
      </c>
      <c r="C14" s="33">
        <v>13987</v>
      </c>
      <c r="D14" s="33">
        <v>352</v>
      </c>
      <c r="E14" s="34">
        <v>2</v>
      </c>
      <c r="F14" s="29"/>
      <c r="G14" s="33">
        <v>311</v>
      </c>
      <c r="H14" s="33">
        <v>124</v>
      </c>
      <c r="I14" s="33">
        <v>2</v>
      </c>
      <c r="J14" s="33">
        <v>0</v>
      </c>
      <c r="K14" s="29"/>
      <c r="L14" s="33">
        <v>20332</v>
      </c>
      <c r="M14" s="33">
        <v>14111</v>
      </c>
      <c r="N14" s="33">
        <v>354</v>
      </c>
      <c r="O14" s="35">
        <v>2</v>
      </c>
      <c r="P14" s="36">
        <f t="shared" si="0"/>
        <v>34799</v>
      </c>
    </row>
    <row r="15" spans="1:16" ht="27" x14ac:dyDescent="0.35">
      <c r="A15" s="37" t="s">
        <v>31</v>
      </c>
      <c r="B15" s="38">
        <v>14806</v>
      </c>
      <c r="C15" s="38">
        <v>3751</v>
      </c>
      <c r="D15" s="38">
        <v>0</v>
      </c>
      <c r="E15" s="39">
        <v>0</v>
      </c>
      <c r="F15" s="29"/>
      <c r="G15" s="38">
        <v>887</v>
      </c>
      <c r="H15" s="38">
        <v>23</v>
      </c>
      <c r="I15" s="38">
        <v>0</v>
      </c>
      <c r="J15" s="38">
        <v>0</v>
      </c>
      <c r="K15" s="29"/>
      <c r="L15" s="38">
        <v>15693</v>
      </c>
      <c r="M15" s="38">
        <v>3774</v>
      </c>
      <c r="N15" s="38">
        <v>0</v>
      </c>
      <c r="O15" s="40">
        <v>0</v>
      </c>
      <c r="P15" s="36">
        <f t="shared" si="0"/>
        <v>19467</v>
      </c>
    </row>
    <row r="16" spans="1:16" ht="27" x14ac:dyDescent="0.35">
      <c r="A16" s="32" t="s">
        <v>32</v>
      </c>
      <c r="B16" s="33">
        <v>10499</v>
      </c>
      <c r="C16" s="33">
        <v>73</v>
      </c>
      <c r="D16" s="33">
        <v>0</v>
      </c>
      <c r="E16" s="34">
        <v>9</v>
      </c>
      <c r="F16" s="29"/>
      <c r="G16" s="33">
        <v>207</v>
      </c>
      <c r="H16" s="33">
        <v>0</v>
      </c>
      <c r="I16" s="33">
        <v>0</v>
      </c>
      <c r="J16" s="33">
        <v>0</v>
      </c>
      <c r="K16" s="29"/>
      <c r="L16" s="33">
        <v>10706</v>
      </c>
      <c r="M16" s="33">
        <v>73</v>
      </c>
      <c r="N16" s="33">
        <v>0</v>
      </c>
      <c r="O16" s="35">
        <v>9</v>
      </c>
      <c r="P16" s="36">
        <f t="shared" si="0"/>
        <v>10788</v>
      </c>
    </row>
    <row r="17" spans="1:16" ht="27" x14ac:dyDescent="0.35">
      <c r="A17" s="37" t="s">
        <v>33</v>
      </c>
      <c r="B17" s="38">
        <v>19280</v>
      </c>
      <c r="C17" s="38">
        <v>7500</v>
      </c>
      <c r="D17" s="38">
        <v>964</v>
      </c>
      <c r="E17" s="39">
        <v>0</v>
      </c>
      <c r="F17" s="29"/>
      <c r="G17" s="38">
        <v>5387</v>
      </c>
      <c r="H17" s="38">
        <v>2260</v>
      </c>
      <c r="I17" s="38">
        <v>550</v>
      </c>
      <c r="J17" s="38">
        <v>5</v>
      </c>
      <c r="K17" s="29"/>
      <c r="L17" s="38">
        <v>24667</v>
      </c>
      <c r="M17" s="38">
        <v>9760</v>
      </c>
      <c r="N17" s="38">
        <v>1514</v>
      </c>
      <c r="O17" s="40">
        <v>5</v>
      </c>
      <c r="P17" s="36">
        <f t="shared" si="0"/>
        <v>35946</v>
      </c>
    </row>
    <row r="18" spans="1:16" ht="27" x14ac:dyDescent="0.35">
      <c r="A18" s="32" t="s">
        <v>34</v>
      </c>
      <c r="B18" s="33">
        <v>10590</v>
      </c>
      <c r="C18" s="33">
        <v>1023</v>
      </c>
      <c r="D18" s="33">
        <v>0</v>
      </c>
      <c r="E18" s="34">
        <v>0</v>
      </c>
      <c r="F18" s="29"/>
      <c r="G18" s="33">
        <v>311</v>
      </c>
      <c r="H18" s="33">
        <v>182</v>
      </c>
      <c r="I18" s="33">
        <v>0</v>
      </c>
      <c r="J18" s="33">
        <v>0</v>
      </c>
      <c r="K18" s="29"/>
      <c r="L18" s="33">
        <v>10901</v>
      </c>
      <c r="M18" s="33">
        <v>1205</v>
      </c>
      <c r="N18" s="33">
        <v>0</v>
      </c>
      <c r="O18" s="35">
        <v>0</v>
      </c>
      <c r="P18" s="36">
        <f t="shared" si="0"/>
        <v>12106</v>
      </c>
    </row>
    <row r="19" spans="1:16" ht="27" x14ac:dyDescent="0.35">
      <c r="A19" s="37" t="s">
        <v>35</v>
      </c>
      <c r="B19" s="38">
        <v>5767</v>
      </c>
      <c r="C19" s="38">
        <v>320</v>
      </c>
      <c r="D19" s="38">
        <v>94</v>
      </c>
      <c r="E19" s="39">
        <v>0</v>
      </c>
      <c r="F19" s="29"/>
      <c r="G19" s="38">
        <v>78</v>
      </c>
      <c r="H19" s="38">
        <v>4</v>
      </c>
      <c r="I19" s="38">
        <v>0</v>
      </c>
      <c r="J19" s="38">
        <v>0</v>
      </c>
      <c r="K19" s="29"/>
      <c r="L19" s="38">
        <v>5845</v>
      </c>
      <c r="M19" s="38">
        <v>324</v>
      </c>
      <c r="N19" s="38">
        <v>94</v>
      </c>
      <c r="O19" s="40">
        <v>0</v>
      </c>
      <c r="P19" s="36">
        <f t="shared" si="0"/>
        <v>6263</v>
      </c>
    </row>
    <row r="20" spans="1:16" ht="27" x14ac:dyDescent="0.35">
      <c r="A20" s="32" t="s">
        <v>36</v>
      </c>
      <c r="B20" s="33">
        <v>6161</v>
      </c>
      <c r="C20" s="33">
        <v>936</v>
      </c>
      <c r="D20" s="33">
        <v>573</v>
      </c>
      <c r="E20" s="34">
        <v>0</v>
      </c>
      <c r="F20" s="29"/>
      <c r="G20" s="33">
        <v>98</v>
      </c>
      <c r="H20" s="33">
        <v>8</v>
      </c>
      <c r="I20" s="33">
        <v>71</v>
      </c>
      <c r="J20" s="33">
        <v>0</v>
      </c>
      <c r="K20" s="29"/>
      <c r="L20" s="33">
        <v>6259</v>
      </c>
      <c r="M20" s="33">
        <v>944</v>
      </c>
      <c r="N20" s="33">
        <v>644</v>
      </c>
      <c r="O20" s="35">
        <v>0</v>
      </c>
      <c r="P20" s="36">
        <f t="shared" si="0"/>
        <v>7847</v>
      </c>
    </row>
    <row r="21" spans="1:16" ht="27" x14ac:dyDescent="0.35">
      <c r="A21" s="37" t="s">
        <v>37</v>
      </c>
      <c r="B21" s="38">
        <v>11231</v>
      </c>
      <c r="C21" s="38">
        <v>916</v>
      </c>
      <c r="D21" s="38">
        <v>0</v>
      </c>
      <c r="E21" s="39">
        <v>0</v>
      </c>
      <c r="F21" s="29"/>
      <c r="G21" s="38">
        <v>217</v>
      </c>
      <c r="H21" s="38">
        <v>1</v>
      </c>
      <c r="I21" s="38">
        <v>0</v>
      </c>
      <c r="J21" s="38">
        <v>0</v>
      </c>
      <c r="K21" s="29"/>
      <c r="L21" s="38">
        <v>11448</v>
      </c>
      <c r="M21" s="38">
        <v>917</v>
      </c>
      <c r="N21" s="38">
        <v>0</v>
      </c>
      <c r="O21" s="40">
        <v>0</v>
      </c>
      <c r="P21" s="36">
        <f t="shared" si="0"/>
        <v>12365</v>
      </c>
    </row>
    <row r="22" spans="1:16" ht="27" x14ac:dyDescent="0.35">
      <c r="A22" s="32" t="s">
        <v>38</v>
      </c>
      <c r="B22" s="33">
        <v>6838</v>
      </c>
      <c r="C22" s="33">
        <v>1304</v>
      </c>
      <c r="D22" s="33">
        <v>155</v>
      </c>
      <c r="E22" s="34">
        <v>0</v>
      </c>
      <c r="F22" s="29"/>
      <c r="G22" s="33">
        <v>292</v>
      </c>
      <c r="H22" s="33">
        <v>25</v>
      </c>
      <c r="I22" s="33">
        <v>11</v>
      </c>
      <c r="J22" s="33">
        <v>0</v>
      </c>
      <c r="K22" s="29"/>
      <c r="L22" s="33">
        <v>7130</v>
      </c>
      <c r="M22" s="33">
        <v>1329</v>
      </c>
      <c r="N22" s="33">
        <v>166</v>
      </c>
      <c r="O22" s="35">
        <v>0</v>
      </c>
      <c r="P22" s="36">
        <f t="shared" si="0"/>
        <v>8625</v>
      </c>
    </row>
    <row r="23" spans="1:16" ht="27" x14ac:dyDescent="0.35">
      <c r="A23" s="37" t="s">
        <v>39</v>
      </c>
      <c r="B23" s="38">
        <v>4553</v>
      </c>
      <c r="C23" s="38">
        <v>563</v>
      </c>
      <c r="D23" s="38">
        <v>141</v>
      </c>
      <c r="E23" s="39">
        <v>0</v>
      </c>
      <c r="F23" s="29"/>
      <c r="G23" s="38">
        <v>169</v>
      </c>
      <c r="H23" s="38">
        <v>11</v>
      </c>
      <c r="I23" s="38">
        <v>12</v>
      </c>
      <c r="J23" s="38">
        <v>0</v>
      </c>
      <c r="K23" s="29"/>
      <c r="L23" s="38">
        <v>4722</v>
      </c>
      <c r="M23" s="38">
        <v>574</v>
      </c>
      <c r="N23" s="38">
        <v>153</v>
      </c>
      <c r="O23" s="40">
        <v>0</v>
      </c>
      <c r="P23" s="36">
        <f t="shared" si="0"/>
        <v>5449</v>
      </c>
    </row>
    <row r="24" spans="1:16" ht="27" x14ac:dyDescent="0.35">
      <c r="A24" s="32" t="s">
        <v>40</v>
      </c>
      <c r="B24" s="33">
        <v>5303</v>
      </c>
      <c r="C24" s="33">
        <v>801</v>
      </c>
      <c r="D24" s="33">
        <v>1128</v>
      </c>
      <c r="E24" s="34">
        <v>0</v>
      </c>
      <c r="F24" s="29"/>
      <c r="G24" s="33">
        <v>170</v>
      </c>
      <c r="H24" s="33">
        <v>0</v>
      </c>
      <c r="I24" s="33">
        <v>0</v>
      </c>
      <c r="J24" s="33">
        <v>0</v>
      </c>
      <c r="K24" s="29"/>
      <c r="L24" s="33">
        <v>5473</v>
      </c>
      <c r="M24" s="33">
        <v>801</v>
      </c>
      <c r="N24" s="33">
        <v>1128</v>
      </c>
      <c r="O24" s="35">
        <v>0</v>
      </c>
      <c r="P24" s="36">
        <f t="shared" si="0"/>
        <v>7402</v>
      </c>
    </row>
    <row r="25" spans="1:16" ht="27" x14ac:dyDescent="0.35">
      <c r="A25" s="37" t="s">
        <v>41</v>
      </c>
      <c r="B25" s="38">
        <v>5969</v>
      </c>
      <c r="C25" s="38">
        <v>371</v>
      </c>
      <c r="D25" s="38">
        <v>0</v>
      </c>
      <c r="E25" s="39">
        <v>0</v>
      </c>
      <c r="F25" s="29"/>
      <c r="G25" s="38">
        <v>106</v>
      </c>
      <c r="H25" s="38">
        <v>5</v>
      </c>
      <c r="I25" s="38">
        <v>0</v>
      </c>
      <c r="J25" s="38">
        <v>0</v>
      </c>
      <c r="K25" s="29"/>
      <c r="L25" s="38">
        <v>6075</v>
      </c>
      <c r="M25" s="38">
        <v>376</v>
      </c>
      <c r="N25" s="38">
        <v>0</v>
      </c>
      <c r="O25" s="40">
        <v>0</v>
      </c>
      <c r="P25" s="36">
        <f t="shared" si="0"/>
        <v>6451</v>
      </c>
    </row>
    <row r="26" spans="1:16" ht="27" x14ac:dyDescent="0.35">
      <c r="A26" s="32" t="s">
        <v>42</v>
      </c>
      <c r="B26" s="33">
        <v>12688</v>
      </c>
      <c r="C26" s="33">
        <v>0</v>
      </c>
      <c r="D26" s="33">
        <v>0</v>
      </c>
      <c r="E26" s="34">
        <v>0</v>
      </c>
      <c r="F26" s="29"/>
      <c r="G26" s="33">
        <v>810</v>
      </c>
      <c r="H26" s="33">
        <v>0</v>
      </c>
      <c r="I26" s="33">
        <v>0</v>
      </c>
      <c r="J26" s="33">
        <v>0</v>
      </c>
      <c r="K26" s="29"/>
      <c r="L26" s="33">
        <v>13498</v>
      </c>
      <c r="M26" s="33">
        <v>0</v>
      </c>
      <c r="N26" s="33">
        <v>0</v>
      </c>
      <c r="O26" s="35">
        <v>0</v>
      </c>
      <c r="P26" s="36">
        <f t="shared" si="0"/>
        <v>13498</v>
      </c>
    </row>
    <row r="27" spans="1:16" ht="27" x14ac:dyDescent="0.35">
      <c r="A27" s="37" t="s">
        <v>43</v>
      </c>
      <c r="B27" s="38">
        <v>3500</v>
      </c>
      <c r="C27" s="38">
        <v>57</v>
      </c>
      <c r="D27" s="38">
        <v>0</v>
      </c>
      <c r="E27" s="39">
        <v>0</v>
      </c>
      <c r="F27" s="29"/>
      <c r="G27" s="38">
        <v>15</v>
      </c>
      <c r="H27" s="38">
        <v>0</v>
      </c>
      <c r="I27" s="38">
        <v>0</v>
      </c>
      <c r="J27" s="38">
        <v>0</v>
      </c>
      <c r="K27" s="29"/>
      <c r="L27" s="38">
        <v>3515</v>
      </c>
      <c r="M27" s="38">
        <v>57</v>
      </c>
      <c r="N27" s="38">
        <v>0</v>
      </c>
      <c r="O27" s="40">
        <v>0</v>
      </c>
      <c r="P27" s="36">
        <f t="shared" si="0"/>
        <v>3572</v>
      </c>
    </row>
    <row r="28" spans="1:16" ht="27" x14ac:dyDescent="0.35">
      <c r="A28" s="32" t="s">
        <v>44</v>
      </c>
      <c r="B28" s="33">
        <v>34628</v>
      </c>
      <c r="C28" s="33">
        <v>12587</v>
      </c>
      <c r="D28" s="33">
        <v>0</v>
      </c>
      <c r="E28" s="34">
        <v>0</v>
      </c>
      <c r="F28" s="29"/>
      <c r="G28" s="33">
        <v>1016</v>
      </c>
      <c r="H28" s="33">
        <v>457</v>
      </c>
      <c r="I28" s="33">
        <v>0</v>
      </c>
      <c r="J28" s="33">
        <v>0</v>
      </c>
      <c r="K28" s="29"/>
      <c r="L28" s="33">
        <v>35644</v>
      </c>
      <c r="M28" s="33">
        <v>13044</v>
      </c>
      <c r="N28" s="33">
        <v>0</v>
      </c>
      <c r="O28" s="35">
        <v>0</v>
      </c>
      <c r="P28" s="36">
        <f t="shared" si="0"/>
        <v>48688</v>
      </c>
    </row>
    <row r="29" spans="1:16" ht="27" x14ac:dyDescent="0.35">
      <c r="A29" s="37" t="s">
        <v>45</v>
      </c>
      <c r="B29" s="38">
        <v>16673</v>
      </c>
      <c r="C29" s="38">
        <v>2532</v>
      </c>
      <c r="D29" s="38">
        <v>0</v>
      </c>
      <c r="E29" s="39">
        <v>0</v>
      </c>
      <c r="F29" s="29"/>
      <c r="G29" s="38">
        <v>449</v>
      </c>
      <c r="H29" s="38">
        <v>63</v>
      </c>
      <c r="I29" s="38">
        <v>0</v>
      </c>
      <c r="J29" s="38">
        <v>0</v>
      </c>
      <c r="K29" s="29"/>
      <c r="L29" s="38">
        <v>17122</v>
      </c>
      <c r="M29" s="38">
        <v>2595</v>
      </c>
      <c r="N29" s="38">
        <v>0</v>
      </c>
      <c r="O29" s="40">
        <v>0</v>
      </c>
      <c r="P29" s="36">
        <f t="shared" si="0"/>
        <v>19717</v>
      </c>
    </row>
    <row r="30" spans="1:16" ht="27" x14ac:dyDescent="0.35">
      <c r="A30" s="41" t="s">
        <v>1</v>
      </c>
      <c r="B30" s="42">
        <f>SUM(B10:B29)</f>
        <v>301913</v>
      </c>
      <c r="C30" s="42">
        <f>SUM(C10:C29)</f>
        <v>89257</v>
      </c>
      <c r="D30" s="42">
        <f>SUM(D10:D29)</f>
        <v>5715</v>
      </c>
      <c r="E30" s="43">
        <f>SUM(E10:E29)</f>
        <v>22</v>
      </c>
      <c r="F30" s="29"/>
      <c r="G30" s="42">
        <f>SUM(G10:G29)</f>
        <v>19004</v>
      </c>
      <c r="H30" s="42">
        <f>SUM(H10:H29)</f>
        <v>3989</v>
      </c>
      <c r="I30" s="42">
        <f>SUM(I10:I29)</f>
        <v>648</v>
      </c>
      <c r="J30" s="42">
        <f>SUM(J10:J29)</f>
        <v>5</v>
      </c>
      <c r="K30" s="29"/>
      <c r="L30" s="42">
        <f>SUM(L10:L29)</f>
        <v>320917</v>
      </c>
      <c r="M30" s="42">
        <f>SUM(M10:M29)</f>
        <v>93246</v>
      </c>
      <c r="N30" s="42">
        <f>SUM(N10:N29)</f>
        <v>6363</v>
      </c>
      <c r="O30" s="44">
        <f>SUM(O10:O29)</f>
        <v>27</v>
      </c>
      <c r="P30" s="45">
        <f>SUM(P10:P29)</f>
        <v>420553</v>
      </c>
    </row>
    <row r="31" spans="1:16" ht="27" x14ac:dyDescent="0.35">
      <c r="A31" s="8" t="s">
        <v>46</v>
      </c>
      <c r="B31" s="287">
        <f>SUM(B30,C30,D30,E30)</f>
        <v>396907</v>
      </c>
      <c r="C31" s="287"/>
      <c r="D31" s="287"/>
      <c r="E31" s="287"/>
      <c r="F31" s="46"/>
      <c r="G31" s="287">
        <f>SUM(G30,H30,I30,J30)</f>
        <v>23646</v>
      </c>
      <c r="H31" s="287"/>
      <c r="I31" s="287"/>
      <c r="J31" s="287"/>
      <c r="K31" s="46"/>
      <c r="L31" s="287">
        <f>SUM(B31:K31)</f>
        <v>420553</v>
      </c>
      <c r="M31" s="287"/>
      <c r="N31" s="287"/>
      <c r="O31" s="288"/>
      <c r="P31" s="47"/>
    </row>
    <row r="32" spans="1:16" ht="15" thickBot="1" x14ac:dyDescent="0.4">
      <c r="A32" s="48"/>
      <c r="B32" s="48"/>
      <c r="C32" s="48"/>
      <c r="D32" s="48"/>
      <c r="E32" s="48"/>
      <c r="F32" s="5"/>
      <c r="G32" s="49"/>
      <c r="H32" s="50"/>
      <c r="I32" s="50"/>
      <c r="J32" s="51"/>
      <c r="K32" s="5"/>
    </row>
    <row r="37" spans="1:16" ht="20.149999999999999" customHeight="1" x14ac:dyDescent="0.35">
      <c r="A37" s="311" t="s">
        <v>289</v>
      </c>
      <c r="B37" s="312"/>
      <c r="C37" s="312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312"/>
      <c r="O37" s="312"/>
      <c r="P37" s="313"/>
    </row>
    <row r="38" spans="1:16" ht="20.149999999999999" customHeight="1" x14ac:dyDescent="0.35">
      <c r="A38" s="314"/>
      <c r="B38" s="315"/>
      <c r="C38" s="315"/>
      <c r="D38" s="315"/>
      <c r="E38" s="315"/>
      <c r="F38" s="315"/>
      <c r="G38" s="315"/>
      <c r="H38" s="315"/>
      <c r="I38" s="315"/>
      <c r="J38" s="315"/>
      <c r="K38" s="315"/>
      <c r="L38" s="315"/>
      <c r="M38" s="315"/>
      <c r="N38" s="315"/>
      <c r="O38" s="315"/>
      <c r="P38" s="316"/>
    </row>
    <row r="39" spans="1:16" ht="25" customHeight="1" x14ac:dyDescent="0.35">
      <c r="A39" s="276" t="s">
        <v>21</v>
      </c>
      <c r="B39" s="289" t="s">
        <v>47</v>
      </c>
      <c r="C39" s="290"/>
      <c r="D39" s="290"/>
      <c r="E39" s="291"/>
      <c r="F39" s="29"/>
      <c r="G39" s="289" t="s">
        <v>48</v>
      </c>
      <c r="H39" s="290"/>
      <c r="I39" s="290"/>
      <c r="J39" s="290"/>
      <c r="K39" s="295">
        <v>0</v>
      </c>
      <c r="L39" s="281" t="s">
        <v>49</v>
      </c>
      <c r="M39" s="297"/>
      <c r="N39" s="297"/>
      <c r="O39" s="298"/>
      <c r="P39" s="303" t="s">
        <v>50</v>
      </c>
    </row>
    <row r="40" spans="1:16" ht="25" customHeight="1" x14ac:dyDescent="0.35">
      <c r="A40" s="276"/>
      <c r="B40" s="289"/>
      <c r="C40" s="290"/>
      <c r="D40" s="290"/>
      <c r="E40" s="291"/>
      <c r="F40" s="29"/>
      <c r="G40" s="289"/>
      <c r="H40" s="290"/>
      <c r="I40" s="290"/>
      <c r="J40" s="290"/>
      <c r="K40" s="295"/>
      <c r="L40" s="299"/>
      <c r="M40" s="297"/>
      <c r="N40" s="297"/>
      <c r="O40" s="298"/>
      <c r="P40" s="303"/>
    </row>
    <row r="41" spans="1:16" ht="6" customHeight="1" x14ac:dyDescent="0.35">
      <c r="A41" s="276"/>
      <c r="B41" s="292"/>
      <c r="C41" s="293"/>
      <c r="D41" s="293"/>
      <c r="E41" s="294"/>
      <c r="F41" s="29"/>
      <c r="G41" s="292"/>
      <c r="H41" s="293"/>
      <c r="I41" s="293"/>
      <c r="J41" s="293"/>
      <c r="K41" s="295"/>
      <c r="L41" s="300"/>
      <c r="M41" s="301"/>
      <c r="N41" s="301"/>
      <c r="O41" s="302"/>
      <c r="P41" s="303"/>
    </row>
    <row r="42" spans="1:16" ht="27" x14ac:dyDescent="0.35">
      <c r="A42" s="277"/>
      <c r="B42" s="6" t="s">
        <v>3</v>
      </c>
      <c r="C42" s="6" t="s">
        <v>4</v>
      </c>
      <c r="D42" s="6" t="s">
        <v>10</v>
      </c>
      <c r="E42" s="30" t="s">
        <v>5</v>
      </c>
      <c r="F42" s="29"/>
      <c r="G42" s="6" t="s">
        <v>3</v>
      </c>
      <c r="H42" s="6" t="s">
        <v>4</v>
      </c>
      <c r="I42" s="6" t="s">
        <v>10</v>
      </c>
      <c r="J42" s="30" t="s">
        <v>5</v>
      </c>
      <c r="K42" s="295"/>
      <c r="L42" s="6" t="s">
        <v>3</v>
      </c>
      <c r="M42" s="6" t="s">
        <v>4</v>
      </c>
      <c r="N42" s="6" t="s">
        <v>10</v>
      </c>
      <c r="O42" s="31" t="s">
        <v>5</v>
      </c>
      <c r="P42" s="304"/>
    </row>
    <row r="43" spans="1:16" ht="27" x14ac:dyDescent="0.35">
      <c r="A43" s="32" t="s">
        <v>26</v>
      </c>
      <c r="B43" s="52">
        <f>B10/P10</f>
        <v>0.519792249300839</v>
      </c>
      <c r="C43" s="52">
        <f>C10/P10</f>
        <v>0.38162205353575707</v>
      </c>
      <c r="D43" s="52">
        <f>D10/P10</f>
        <v>1.0051937674790252E-2</v>
      </c>
      <c r="E43" s="53">
        <f>E10/P10</f>
        <v>1.7578905313623652E-4</v>
      </c>
      <c r="F43" s="29">
        <v>0</v>
      </c>
      <c r="G43" s="52">
        <f>G10/P10</f>
        <v>8.015980823012385E-2</v>
      </c>
      <c r="H43" s="52">
        <f>H10/P10</f>
        <v>8.1981622053535763E-3</v>
      </c>
      <c r="I43" s="54">
        <f>I10/P10</f>
        <v>0</v>
      </c>
      <c r="J43" s="55">
        <f>J10/P10</f>
        <v>0</v>
      </c>
      <c r="K43" s="295"/>
      <c r="L43" s="54">
        <f>L10/P10</f>
        <v>0.59995205753096281</v>
      </c>
      <c r="M43" s="52">
        <f>M10/P10</f>
        <v>0.38982021574111064</v>
      </c>
      <c r="N43" s="52">
        <f>N10/P10</f>
        <v>1.0051937674790252E-2</v>
      </c>
      <c r="O43" s="56">
        <v>0</v>
      </c>
      <c r="P43" s="57">
        <f t="shared" ref="P43:P63" si="1">SUM(B43:J43)</f>
        <v>1</v>
      </c>
    </row>
    <row r="44" spans="1:16" ht="27" x14ac:dyDescent="0.35">
      <c r="A44" s="37" t="s">
        <v>27</v>
      </c>
      <c r="B44" s="58">
        <f>B11/P11</f>
        <v>0.60457617900707017</v>
      </c>
      <c r="C44" s="58">
        <f>C11/P11</f>
        <v>0.37980731877864971</v>
      </c>
      <c r="D44" s="58">
        <f>D11/P11</f>
        <v>0</v>
      </c>
      <c r="E44" s="58">
        <f>E11/P11</f>
        <v>0</v>
      </c>
      <c r="F44" s="29"/>
      <c r="G44" s="58">
        <f>G11/P11</f>
        <v>1.4179162458239454E-2</v>
      </c>
      <c r="H44" s="58">
        <f>H11/P11</f>
        <v>1.4373397560407117E-3</v>
      </c>
      <c r="I44" s="58">
        <f>I11/P11</f>
        <v>0</v>
      </c>
      <c r="J44" s="59">
        <f>J11/P11</f>
        <v>0</v>
      </c>
      <c r="K44" s="295"/>
      <c r="L44" s="60">
        <f>L11/P11</f>
        <v>0.61875534146530964</v>
      </c>
      <c r="M44" s="60">
        <f>M11/P11</f>
        <v>0.38124465853469036</v>
      </c>
      <c r="N44" s="60">
        <f>N11/P11</f>
        <v>0</v>
      </c>
      <c r="O44" s="61">
        <v>0</v>
      </c>
      <c r="P44" s="62">
        <f t="shared" si="1"/>
        <v>1</v>
      </c>
    </row>
    <row r="45" spans="1:16" ht="27" x14ac:dyDescent="0.35">
      <c r="A45" s="32" t="s">
        <v>28</v>
      </c>
      <c r="B45" s="52">
        <f>B12/P12</f>
        <v>0.78101201124456943</v>
      </c>
      <c r="C45" s="52">
        <f>C12/P12</f>
        <v>0.13943266036289292</v>
      </c>
      <c r="D45" s="52">
        <f>D12/P12</f>
        <v>4.2908254536161511E-2</v>
      </c>
      <c r="E45" s="53">
        <f>E12/P12</f>
        <v>0</v>
      </c>
      <c r="F45" s="29"/>
      <c r="G45" s="52">
        <f>G12/P12</f>
        <v>3.1791464349603886E-2</v>
      </c>
      <c r="H45" s="63">
        <f>H12/P12</f>
        <v>4.8044978277536421E-3</v>
      </c>
      <c r="I45" s="63">
        <f>I12/P12</f>
        <v>5.1111679018655762E-5</v>
      </c>
      <c r="J45" s="64">
        <f>J12/P12</f>
        <v>0</v>
      </c>
      <c r="K45" s="295"/>
      <c r="L45" s="54">
        <f>L12/P12</f>
        <v>0.81280347559417332</v>
      </c>
      <c r="M45" s="54">
        <f>M12/P12</f>
        <v>0.14423715819064656</v>
      </c>
      <c r="N45" s="54">
        <f>N12/P12</f>
        <v>4.2959366215180171E-2</v>
      </c>
      <c r="O45" s="65">
        <v>0</v>
      </c>
      <c r="P45" s="62">
        <f t="shared" si="1"/>
        <v>1</v>
      </c>
    </row>
    <row r="46" spans="1:16" ht="27" x14ac:dyDescent="0.35">
      <c r="A46" s="37" t="s">
        <v>29</v>
      </c>
      <c r="B46" s="58">
        <f>B13/P13</f>
        <v>0.86623632330583455</v>
      </c>
      <c r="C46" s="58">
        <f>C13/P13</f>
        <v>8.5312663559554372E-2</v>
      </c>
      <c r="D46" s="58">
        <f>D13/P13</f>
        <v>0</v>
      </c>
      <c r="E46" s="59">
        <f>E13/P13</f>
        <v>0</v>
      </c>
      <c r="F46" s="29"/>
      <c r="G46" s="58">
        <f>G13/P13</f>
        <v>4.6257757396007279E-2</v>
      </c>
      <c r="H46" s="66">
        <f>H13/P13</f>
        <v>2.1932557386037934E-3</v>
      </c>
      <c r="I46" s="66">
        <f>I13/P13</f>
        <v>0</v>
      </c>
      <c r="J46" s="67">
        <f>J13/P13</f>
        <v>0</v>
      </c>
      <c r="K46" s="295"/>
      <c r="L46" s="60">
        <f>L13/P13</f>
        <v>0.91249408070184179</v>
      </c>
      <c r="M46" s="60">
        <f>M13/P13</f>
        <v>8.7505919298158166E-2</v>
      </c>
      <c r="N46" s="60">
        <f>N13/P13</f>
        <v>0</v>
      </c>
      <c r="O46" s="61">
        <v>0</v>
      </c>
      <c r="P46" s="62">
        <f t="shared" si="1"/>
        <v>0.99999999999999989</v>
      </c>
    </row>
    <row r="47" spans="1:16" ht="27" x14ac:dyDescent="0.35">
      <c r="A47" s="32" t="s">
        <v>30</v>
      </c>
      <c r="B47" s="52">
        <f>B14/P14</f>
        <v>0.57533262450070399</v>
      </c>
      <c r="C47" s="52">
        <f>C14/P14</f>
        <v>0.40193683726543866</v>
      </c>
      <c r="D47" s="52">
        <f>D14/P14</f>
        <v>1.0115233196356217E-2</v>
      </c>
      <c r="E47" s="53">
        <f>E14/P14</f>
        <v>5.7472915888387601E-5</v>
      </c>
      <c r="F47" s="29"/>
      <c r="G47" s="52">
        <f>G14/P14</f>
        <v>8.9370384206442707E-3</v>
      </c>
      <c r="H47" s="63">
        <f>H14/P14</f>
        <v>3.563320785080031E-3</v>
      </c>
      <c r="I47" s="63">
        <f>I14/P14</f>
        <v>5.7472915888387601E-5</v>
      </c>
      <c r="J47" s="64">
        <f>J14/P14</f>
        <v>0</v>
      </c>
      <c r="K47" s="295"/>
      <c r="L47" s="54">
        <f>L14/P14</f>
        <v>0.5842696629213483</v>
      </c>
      <c r="M47" s="54">
        <f>M14/P14</f>
        <v>0.4055001580505187</v>
      </c>
      <c r="N47" s="54">
        <f>N14/P14</f>
        <v>1.0172706112244604E-2</v>
      </c>
      <c r="O47" s="65">
        <v>0</v>
      </c>
      <c r="P47" s="62">
        <f t="shared" si="1"/>
        <v>1</v>
      </c>
    </row>
    <row r="48" spans="1:16" ht="27" x14ac:dyDescent="0.35">
      <c r="A48" s="37" t="s">
        <v>31</v>
      </c>
      <c r="B48" s="58">
        <f>B15/P15</f>
        <v>0.76056916833615862</v>
      </c>
      <c r="C48" s="58">
        <f>C15/P15</f>
        <v>0.19268505676272665</v>
      </c>
      <c r="D48" s="58">
        <f>D15/P15</f>
        <v>0</v>
      </c>
      <c r="E48" s="59">
        <f>E15/P15</f>
        <v>0</v>
      </c>
      <c r="F48" s="29"/>
      <c r="G48" s="58">
        <f>G15/P15</f>
        <v>4.5564288282734886E-2</v>
      </c>
      <c r="H48" s="66">
        <f>H15/P15</f>
        <v>1.1814866183798222E-3</v>
      </c>
      <c r="I48" s="66">
        <f>I15/P15</f>
        <v>0</v>
      </c>
      <c r="J48" s="67">
        <f>J15/P15</f>
        <v>0</v>
      </c>
      <c r="K48" s="295"/>
      <c r="L48" s="60">
        <f>L15/P15</f>
        <v>0.80613345661889346</v>
      </c>
      <c r="M48" s="60">
        <f>M15/P15</f>
        <v>0.19386654338110648</v>
      </c>
      <c r="N48" s="60">
        <f>N15/P15</f>
        <v>0</v>
      </c>
      <c r="O48" s="61">
        <f>O15/P15</f>
        <v>0</v>
      </c>
      <c r="P48" s="62">
        <f t="shared" si="1"/>
        <v>0.99999999999999989</v>
      </c>
    </row>
    <row r="49" spans="1:16" ht="27" x14ac:dyDescent="0.35">
      <c r="A49" s="32" t="s">
        <v>32</v>
      </c>
      <c r="B49" s="52">
        <f>B16/P16</f>
        <v>0.97321097515758248</v>
      </c>
      <c r="C49" s="52">
        <f>C16/P16</f>
        <v>6.7667779013718945E-3</v>
      </c>
      <c r="D49" s="52">
        <f>D16/P16</f>
        <v>0</v>
      </c>
      <c r="E49" s="53">
        <f>E16/P16</f>
        <v>8.3426028921023364E-4</v>
      </c>
      <c r="F49" s="29"/>
      <c r="G49" s="52">
        <f>G16/P16</f>
        <v>1.9187986651835371E-2</v>
      </c>
      <c r="H49" s="63">
        <f>H16/P16</f>
        <v>0</v>
      </c>
      <c r="I49" s="63">
        <f>I16/P16</f>
        <v>0</v>
      </c>
      <c r="J49" s="64">
        <f>J16/P16</f>
        <v>0</v>
      </c>
      <c r="K49" s="295"/>
      <c r="L49" s="54">
        <f>L16/P16</f>
        <v>0.99239896180941789</v>
      </c>
      <c r="M49" s="54">
        <f>M16/P16</f>
        <v>6.7667779013718945E-3</v>
      </c>
      <c r="N49" s="54">
        <f>N16/P16</f>
        <v>0</v>
      </c>
      <c r="O49" s="65">
        <f>O16/P16</f>
        <v>8.3426028921023364E-4</v>
      </c>
      <c r="P49" s="62">
        <f t="shared" si="1"/>
        <v>1</v>
      </c>
    </row>
    <row r="50" spans="1:16" ht="27" x14ac:dyDescent="0.35">
      <c r="A50" s="37" t="s">
        <v>33</v>
      </c>
      <c r="B50" s="58">
        <f>B17/P17</f>
        <v>0.53636009569910426</v>
      </c>
      <c r="C50" s="58">
        <f>C17/P17</f>
        <v>0.20864630278751461</v>
      </c>
      <c r="D50" s="58">
        <f>D17/P17</f>
        <v>2.6818004784955211E-2</v>
      </c>
      <c r="E50" s="59">
        <f>E17/P17</f>
        <v>0</v>
      </c>
      <c r="F50" s="29"/>
      <c r="G50" s="58">
        <f>G17/P17</f>
        <v>0.14986368441551215</v>
      </c>
      <c r="H50" s="66">
        <f>H17/P17</f>
        <v>6.2872085906637731E-2</v>
      </c>
      <c r="I50" s="66">
        <f>I17/P17</f>
        <v>1.5300728871084404E-2</v>
      </c>
      <c r="J50" s="67">
        <f>J17/P17</f>
        <v>1.390975351916764E-4</v>
      </c>
      <c r="K50" s="295"/>
      <c r="L50" s="60">
        <f>L17/P17</f>
        <v>0.68622378011461638</v>
      </c>
      <c r="M50" s="60">
        <f>M17/P17</f>
        <v>0.27151838869415235</v>
      </c>
      <c r="N50" s="60">
        <f>N17/P17</f>
        <v>4.2118733656039617E-2</v>
      </c>
      <c r="O50" s="61">
        <f>O17/P17</f>
        <v>1.390975351916764E-4</v>
      </c>
      <c r="P50" s="62">
        <f t="shared" si="1"/>
        <v>1</v>
      </c>
    </row>
    <row r="51" spans="1:16" ht="27" x14ac:dyDescent="0.35">
      <c r="A51" s="32" t="s">
        <v>34</v>
      </c>
      <c r="B51" s="52">
        <f>B18/P18</f>
        <v>0.87477283991409216</v>
      </c>
      <c r="C51" s="52">
        <f>C18/P18</f>
        <v>8.4503551957706924E-2</v>
      </c>
      <c r="D51" s="52">
        <f>D18/P18</f>
        <v>0</v>
      </c>
      <c r="E51" s="53">
        <f>E18/P18</f>
        <v>0</v>
      </c>
      <c r="F51" s="29"/>
      <c r="G51" s="52">
        <f>G18/P18</f>
        <v>2.5689740624483728E-2</v>
      </c>
      <c r="H51" s="63">
        <f>H18/P18</f>
        <v>1.5033867503717165E-2</v>
      </c>
      <c r="I51" s="63">
        <f>I18/P18</f>
        <v>0</v>
      </c>
      <c r="J51" s="64">
        <f>J18/P18</f>
        <v>0</v>
      </c>
      <c r="K51" s="295"/>
      <c r="L51" s="54">
        <f>L18/P18</f>
        <v>0.90046258053857586</v>
      </c>
      <c r="M51" s="54">
        <f>M18/P18</f>
        <v>9.9537419461424081E-2</v>
      </c>
      <c r="N51" s="54">
        <f>N18/P18</f>
        <v>0</v>
      </c>
      <c r="O51" s="65">
        <f>O18/P18</f>
        <v>0</v>
      </c>
      <c r="P51" s="62">
        <f t="shared" si="1"/>
        <v>0.99999999999999989</v>
      </c>
    </row>
    <row r="52" spans="1:16" ht="27" x14ac:dyDescent="0.35">
      <c r="A52" s="37" t="s">
        <v>35</v>
      </c>
      <c r="B52" s="58">
        <f>B19/P19</f>
        <v>0.92080472616956732</v>
      </c>
      <c r="C52" s="58">
        <f>C19/P19</f>
        <v>5.1093725051892067E-2</v>
      </c>
      <c r="D52" s="58">
        <f>D19/P19</f>
        <v>1.5008781733993294E-2</v>
      </c>
      <c r="E52" s="59">
        <f>E19/P19</f>
        <v>0</v>
      </c>
      <c r="F52" s="29"/>
      <c r="G52" s="58">
        <f>G19/P19</f>
        <v>1.245409548139869E-2</v>
      </c>
      <c r="H52" s="66">
        <f>H19/P19</f>
        <v>6.3867156314865081E-4</v>
      </c>
      <c r="I52" s="66">
        <f>I19/P19</f>
        <v>0</v>
      </c>
      <c r="J52" s="67">
        <f>J19/P19</f>
        <v>0</v>
      </c>
      <c r="K52" s="295"/>
      <c r="L52" s="60">
        <f>L19/P19</f>
        <v>0.93325882165096596</v>
      </c>
      <c r="M52" s="60">
        <f>M19/P19</f>
        <v>5.1732396615040713E-2</v>
      </c>
      <c r="N52" s="60">
        <f>N19/P19</f>
        <v>1.5008781733993294E-2</v>
      </c>
      <c r="O52" s="61">
        <f>O19/P19</f>
        <v>0</v>
      </c>
      <c r="P52" s="62">
        <f t="shared" si="1"/>
        <v>1</v>
      </c>
    </row>
    <row r="53" spans="1:16" ht="27" x14ac:dyDescent="0.35">
      <c r="A53" s="32" t="s">
        <v>36</v>
      </c>
      <c r="B53" s="52">
        <f>B20/P20</f>
        <v>0.7851408181470626</v>
      </c>
      <c r="C53" s="52">
        <f>C20/P20</f>
        <v>0.11928125398241367</v>
      </c>
      <c r="D53" s="52">
        <f>D20/P20</f>
        <v>7.3021536893080163E-2</v>
      </c>
      <c r="E53" s="53">
        <f>E20/P20</f>
        <v>0</v>
      </c>
      <c r="F53" s="29"/>
      <c r="G53" s="52">
        <f>G20/P20</f>
        <v>1.2488849241748439E-2</v>
      </c>
      <c r="H53" s="63">
        <f>H20/P20</f>
        <v>1.0194978972855868E-3</v>
      </c>
      <c r="I53" s="63">
        <f>I20/P20</f>
        <v>9.0480438384095835E-3</v>
      </c>
      <c r="J53" s="64">
        <f>J20/P20</f>
        <v>0</v>
      </c>
      <c r="K53" s="295"/>
      <c r="L53" s="54">
        <f>L20/P20</f>
        <v>0.79762966738881103</v>
      </c>
      <c r="M53" s="54">
        <f>M20/P20</f>
        <v>0.12030075187969924</v>
      </c>
      <c r="N53" s="54">
        <f>N20/P20</f>
        <v>8.2069580731489747E-2</v>
      </c>
      <c r="O53" s="65">
        <f>O20/P20</f>
        <v>0</v>
      </c>
      <c r="P53" s="62">
        <f t="shared" si="1"/>
        <v>1</v>
      </c>
    </row>
    <row r="54" spans="1:16" ht="27" x14ac:dyDescent="0.35">
      <c r="A54" s="37" t="s">
        <v>37</v>
      </c>
      <c r="B54" s="58">
        <f>B21/P21</f>
        <v>0.90828952689041653</v>
      </c>
      <c r="C54" s="58">
        <f>C21/P21</f>
        <v>7.4080064698746464E-2</v>
      </c>
      <c r="D54" s="58">
        <f>D21/P21</f>
        <v>0</v>
      </c>
      <c r="E54" s="59">
        <f>E21/P21</f>
        <v>0</v>
      </c>
      <c r="F54" s="29"/>
      <c r="G54" s="58">
        <f>G21/P21</f>
        <v>1.7549534977759806E-2</v>
      </c>
      <c r="H54" s="66">
        <f>H21/P21</f>
        <v>8.0873433077234132E-5</v>
      </c>
      <c r="I54" s="66">
        <f>I21/P21</f>
        <v>0</v>
      </c>
      <c r="J54" s="67">
        <f>J21/P21</f>
        <v>0</v>
      </c>
      <c r="K54" s="295"/>
      <c r="L54" s="60">
        <f>L21/P21</f>
        <v>0.92583906186817633</v>
      </c>
      <c r="M54" s="60">
        <f>M21/P21</f>
        <v>7.41609381318237E-2</v>
      </c>
      <c r="N54" s="60">
        <f>N21/P21</f>
        <v>0</v>
      </c>
      <c r="O54" s="61">
        <f>O21/P21</f>
        <v>0</v>
      </c>
      <c r="P54" s="62">
        <f t="shared" si="1"/>
        <v>1</v>
      </c>
    </row>
    <row r="55" spans="1:16" ht="27" x14ac:dyDescent="0.35">
      <c r="A55" s="32" t="s">
        <v>38</v>
      </c>
      <c r="B55" s="52">
        <f>B22/P22</f>
        <v>0.7928115942028986</v>
      </c>
      <c r="C55" s="52">
        <f>C22/P22</f>
        <v>0.15118840579710144</v>
      </c>
      <c r="D55" s="52">
        <f>D22/P22</f>
        <v>1.7971014492753623E-2</v>
      </c>
      <c r="E55" s="53">
        <f>E22/P22</f>
        <v>0</v>
      </c>
      <c r="F55" s="29"/>
      <c r="G55" s="52">
        <f>G22/P22</f>
        <v>3.3855072463768114E-2</v>
      </c>
      <c r="H55" s="63">
        <f>H22/P22</f>
        <v>2.8985507246376812E-3</v>
      </c>
      <c r="I55" s="63">
        <f>I22/P22</f>
        <v>1.2753623188405797E-3</v>
      </c>
      <c r="J55" s="64">
        <f>J22/P22</f>
        <v>0</v>
      </c>
      <c r="K55" s="295"/>
      <c r="L55" s="54">
        <f>L22/P22</f>
        <v>0.82666666666666666</v>
      </c>
      <c r="M55" s="54">
        <f>M22/P22</f>
        <v>0.15408695652173912</v>
      </c>
      <c r="N55" s="54">
        <f>N22/P22</f>
        <v>1.9246376811594204E-2</v>
      </c>
      <c r="O55" s="65">
        <f>O22/P22</f>
        <v>0</v>
      </c>
      <c r="P55" s="62">
        <f t="shared" si="1"/>
        <v>1</v>
      </c>
    </row>
    <row r="56" spans="1:16" ht="27" x14ac:dyDescent="0.35">
      <c r="A56" s="37" t="s">
        <v>39</v>
      </c>
      <c r="B56" s="58">
        <f>B23/P23</f>
        <v>0.83556615892824371</v>
      </c>
      <c r="C56" s="58">
        <f>C23/P23</f>
        <v>0.10332171040557901</v>
      </c>
      <c r="D56" s="58">
        <f>D23/P23</f>
        <v>2.587630757937236E-2</v>
      </c>
      <c r="E56" s="59">
        <f>E23/P23</f>
        <v>0</v>
      </c>
      <c r="F56" s="29"/>
      <c r="G56" s="58">
        <f>G23/P23</f>
        <v>3.1014865112864744E-2</v>
      </c>
      <c r="H56" s="66">
        <f>H23/P23</f>
        <v>2.0187190310148651E-3</v>
      </c>
      <c r="I56" s="66">
        <f>I23/P23</f>
        <v>2.2022389429253073E-3</v>
      </c>
      <c r="J56" s="67">
        <f>J23/P23</f>
        <v>0</v>
      </c>
      <c r="K56" s="295"/>
      <c r="L56" s="60">
        <f>L23/P23</f>
        <v>0.86658102404110848</v>
      </c>
      <c r="M56" s="60">
        <f>M23/P23</f>
        <v>0.10534042943659387</v>
      </c>
      <c r="N56" s="60">
        <f>N23/P23</f>
        <v>2.807854652229767E-2</v>
      </c>
      <c r="O56" s="61">
        <f>O23/P23</f>
        <v>0</v>
      </c>
      <c r="P56" s="62">
        <f t="shared" si="1"/>
        <v>1</v>
      </c>
    </row>
    <row r="57" spans="1:16" ht="27" x14ac:dyDescent="0.35">
      <c r="A57" s="32" t="s">
        <v>40</v>
      </c>
      <c r="B57" s="52">
        <f>B24/P24</f>
        <v>0.71642799243447719</v>
      </c>
      <c r="C57" s="52">
        <f>C24/P24</f>
        <v>0.10821399621723858</v>
      </c>
      <c r="D57" s="52">
        <f>D24/P24</f>
        <v>0.15239124560929479</v>
      </c>
      <c r="E57" s="53">
        <f>E24/P24</f>
        <v>0</v>
      </c>
      <c r="F57" s="29"/>
      <c r="G57" s="52">
        <f>G24/P24</f>
        <v>2.2966765738989463E-2</v>
      </c>
      <c r="H57" s="63">
        <f>H24/P24</f>
        <v>0</v>
      </c>
      <c r="I57" s="63">
        <f>I24/P24</f>
        <v>0</v>
      </c>
      <c r="J57" s="64">
        <f>J24/P24</f>
        <v>0</v>
      </c>
      <c r="K57" s="295"/>
      <c r="L57" s="54">
        <f>L24/P24</f>
        <v>0.73939475817346667</v>
      </c>
      <c r="M57" s="54">
        <f>M24/P24</f>
        <v>0.10821399621723858</v>
      </c>
      <c r="N57" s="54">
        <f>N24/P24</f>
        <v>0.15239124560929479</v>
      </c>
      <c r="O57" s="65">
        <f>O24/P24</f>
        <v>0</v>
      </c>
      <c r="P57" s="62">
        <f t="shared" si="1"/>
        <v>1</v>
      </c>
    </row>
    <row r="58" spans="1:16" ht="27" x14ac:dyDescent="0.35">
      <c r="A58" s="37" t="s">
        <v>41</v>
      </c>
      <c r="B58" s="58">
        <f>B25/P25</f>
        <v>0.92528290187567819</v>
      </c>
      <c r="C58" s="58">
        <f>C25/P25</f>
        <v>5.7510463494031931E-2</v>
      </c>
      <c r="D58" s="58">
        <f>D25/P25</f>
        <v>0</v>
      </c>
      <c r="E58" s="59">
        <f>E25/P25</f>
        <v>0</v>
      </c>
      <c r="F58" s="29"/>
      <c r="G58" s="58">
        <f>G25/P25</f>
        <v>1.6431560998294837E-2</v>
      </c>
      <c r="H58" s="66">
        <f>H25/P25</f>
        <v>7.7507363199503956E-4</v>
      </c>
      <c r="I58" s="66">
        <f>I25/P25</f>
        <v>0</v>
      </c>
      <c r="J58" s="67">
        <f>J25/P25</f>
        <v>0</v>
      </c>
      <c r="K58" s="295"/>
      <c r="L58" s="60">
        <f>L25/P25</f>
        <v>0.94171446287397298</v>
      </c>
      <c r="M58" s="60">
        <f>M25/P25</f>
        <v>5.8285537126026972E-2</v>
      </c>
      <c r="N58" s="60">
        <f>N25/P25</f>
        <v>0</v>
      </c>
      <c r="O58" s="61">
        <f>O25/P25</f>
        <v>0</v>
      </c>
      <c r="P58" s="62">
        <f t="shared" si="1"/>
        <v>0.99999999999999989</v>
      </c>
    </row>
    <row r="59" spans="1:16" ht="27" x14ac:dyDescent="0.35">
      <c r="A59" s="32" t="s">
        <v>42</v>
      </c>
      <c r="B59" s="52">
        <f>B26/P26</f>
        <v>0.93999110979404354</v>
      </c>
      <c r="C59" s="52">
        <f>C26/P26</f>
        <v>0</v>
      </c>
      <c r="D59" s="52">
        <f>D26/P26</f>
        <v>0</v>
      </c>
      <c r="E59" s="53">
        <f>E26/P26</f>
        <v>0</v>
      </c>
      <c r="F59" s="29"/>
      <c r="G59" s="52">
        <f>G26/P26</f>
        <v>6.0008890205956435E-2</v>
      </c>
      <c r="H59" s="63">
        <f>H26/P26</f>
        <v>0</v>
      </c>
      <c r="I59" s="63">
        <f>I26/P26</f>
        <v>0</v>
      </c>
      <c r="J59" s="64">
        <f>J26/P26</f>
        <v>0</v>
      </c>
      <c r="K59" s="295"/>
      <c r="L59" s="54">
        <f>L26/P26</f>
        <v>1</v>
      </c>
      <c r="M59" s="54">
        <f>M26/P26</f>
        <v>0</v>
      </c>
      <c r="N59" s="54">
        <f>N26/P26</f>
        <v>0</v>
      </c>
      <c r="O59" s="65">
        <f>O26/P26</f>
        <v>0</v>
      </c>
      <c r="P59" s="62">
        <f t="shared" si="1"/>
        <v>1</v>
      </c>
    </row>
    <row r="60" spans="1:16" ht="27" x14ac:dyDescent="0.35">
      <c r="A60" s="37" t="s">
        <v>43</v>
      </c>
      <c r="B60" s="58">
        <f>B27/P27</f>
        <v>0.97984322508398658</v>
      </c>
      <c r="C60" s="58">
        <f>C27/P27</f>
        <v>1.5957446808510637E-2</v>
      </c>
      <c r="D60" s="58">
        <f>D27/P27</f>
        <v>0</v>
      </c>
      <c r="E60" s="59">
        <f>E27/P27</f>
        <v>0</v>
      </c>
      <c r="F60" s="29"/>
      <c r="G60" s="58">
        <f>G27/P27</f>
        <v>4.1993281075027996E-3</v>
      </c>
      <c r="H60" s="66">
        <f>H27/P27</f>
        <v>0</v>
      </c>
      <c r="I60" s="66">
        <f>I27/P27</f>
        <v>0</v>
      </c>
      <c r="J60" s="67">
        <f>J27/P27</f>
        <v>0</v>
      </c>
      <c r="K60" s="295"/>
      <c r="L60" s="60">
        <f>L27/P27</f>
        <v>0.98404255319148937</v>
      </c>
      <c r="M60" s="60">
        <f>M27/P27</f>
        <v>1.5957446808510637E-2</v>
      </c>
      <c r="N60" s="60">
        <f>N27/P27</f>
        <v>0</v>
      </c>
      <c r="O60" s="61">
        <f>O27/P27</f>
        <v>0</v>
      </c>
      <c r="P60" s="62">
        <f t="shared" si="1"/>
        <v>1</v>
      </c>
    </row>
    <row r="61" spans="1:16" ht="27" x14ac:dyDescent="0.35">
      <c r="A61" s="32" t="s">
        <v>44</v>
      </c>
      <c r="B61" s="52">
        <f>B28/P28</f>
        <v>0.71122247781794279</v>
      </c>
      <c r="C61" s="52">
        <f>C28/P28</f>
        <v>0.25852366086099243</v>
      </c>
      <c r="D61" s="52">
        <f>D28/P28</f>
        <v>0</v>
      </c>
      <c r="E61" s="53">
        <f>E28/P28</f>
        <v>0</v>
      </c>
      <c r="F61" s="29"/>
      <c r="G61" s="52">
        <f>G28/P28</f>
        <v>2.0867564903056194E-2</v>
      </c>
      <c r="H61" s="63">
        <f>H28/P28</f>
        <v>9.386296418008545E-3</v>
      </c>
      <c r="I61" s="63">
        <f>I28/P28</f>
        <v>0</v>
      </c>
      <c r="J61" s="64">
        <f>J28/P28</f>
        <v>0</v>
      </c>
      <c r="K61" s="295"/>
      <c r="L61" s="52">
        <f>L28/P28</f>
        <v>0.73209004272099898</v>
      </c>
      <c r="M61" s="52">
        <f>M28/P28</f>
        <v>0.26790995727900097</v>
      </c>
      <c r="N61" s="52">
        <f>N28/P28</f>
        <v>0</v>
      </c>
      <c r="O61" s="65">
        <f>O28/P28</f>
        <v>0</v>
      </c>
      <c r="P61" s="62">
        <f t="shared" si="1"/>
        <v>1</v>
      </c>
    </row>
    <row r="62" spans="1:16" ht="27" x14ac:dyDescent="0.35">
      <c r="A62" s="37" t="s">
        <v>45</v>
      </c>
      <c r="B62" s="58">
        <f>B29/P29</f>
        <v>0.84561545874118782</v>
      </c>
      <c r="C62" s="58">
        <f>C29/P29</f>
        <v>0.12841710199320383</v>
      </c>
      <c r="D62" s="58">
        <f>D29/P29</f>
        <v>0</v>
      </c>
      <c r="E62" s="59">
        <f>E29/P29</f>
        <v>0</v>
      </c>
      <c r="F62" s="29"/>
      <c r="G62" s="58">
        <f>G29/P29</f>
        <v>2.2772227012222954E-2</v>
      </c>
      <c r="H62" s="66">
        <f>H29/P29</f>
        <v>3.1952122533854036E-3</v>
      </c>
      <c r="I62" s="66">
        <f>I29/P29</f>
        <v>0</v>
      </c>
      <c r="J62" s="67">
        <f>J29/P29</f>
        <v>0</v>
      </c>
      <c r="K62" s="295"/>
      <c r="L62" s="60">
        <f>L29/P29</f>
        <v>0.86838768575341074</v>
      </c>
      <c r="M62" s="60">
        <f>M29/P29</f>
        <v>0.13161231424658923</v>
      </c>
      <c r="N62" s="60">
        <f>N29/P29</f>
        <v>0</v>
      </c>
      <c r="O62" s="61">
        <f>O29/P29</f>
        <v>0</v>
      </c>
      <c r="P62" s="62">
        <f t="shared" si="1"/>
        <v>0.99999999999999989</v>
      </c>
    </row>
    <row r="63" spans="1:16" ht="27" x14ac:dyDescent="0.35">
      <c r="A63" s="68" t="s">
        <v>1</v>
      </c>
      <c r="B63" s="69">
        <f>B30/P30</f>
        <v>0.71789524744800304</v>
      </c>
      <c r="C63" s="69">
        <f>C30/P30</f>
        <v>0.21223722099236006</v>
      </c>
      <c r="D63" s="69">
        <f>D30/P30</f>
        <v>1.3589250344189674E-2</v>
      </c>
      <c r="E63" s="70">
        <f>E30/P30</f>
        <v>5.2312074815778271E-5</v>
      </c>
      <c r="F63" s="29"/>
      <c r="G63" s="69">
        <f>G30/P30</f>
        <v>4.5188121354502286E-2</v>
      </c>
      <c r="H63" s="71">
        <f>H30/P30</f>
        <v>9.4851302927336147E-3</v>
      </c>
      <c r="I63" s="71">
        <f>I30/P30</f>
        <v>1.5408283854829237E-3</v>
      </c>
      <c r="J63" s="72">
        <f>J30/P30</f>
        <v>1.1889107912676879E-5</v>
      </c>
      <c r="K63" s="295"/>
      <c r="L63" s="69">
        <f>L30/P30</f>
        <v>0.76308336880250527</v>
      </c>
      <c r="M63" s="73">
        <f>M30/P30</f>
        <v>0.22172235128509368</v>
      </c>
      <c r="N63" s="73">
        <f>N30/P30</f>
        <v>1.5130078729672598E-2</v>
      </c>
      <c r="O63" s="74">
        <f>O30/P30</f>
        <v>6.4201182728455147E-5</v>
      </c>
      <c r="P63" s="62">
        <f t="shared" si="1"/>
        <v>1.0000000000000002</v>
      </c>
    </row>
    <row r="64" spans="1:16" ht="25" customHeight="1" x14ac:dyDescent="0.35">
      <c r="A64" s="8" t="s">
        <v>51</v>
      </c>
      <c r="B64" s="305">
        <f>SUM(B63,C63,D63,E63)</f>
        <v>0.94377403085936862</v>
      </c>
      <c r="C64" s="306"/>
      <c r="D64" s="306"/>
      <c r="E64" s="307"/>
      <c r="F64" s="75"/>
      <c r="G64" s="306">
        <f>SUM(G63,H63,I63,J63)</f>
        <v>5.6225969140631507E-2</v>
      </c>
      <c r="H64" s="306"/>
      <c r="I64" s="306"/>
      <c r="J64" s="306"/>
      <c r="K64" s="296"/>
      <c r="L64" s="308">
        <f>SUM(B64:J64)</f>
        <v>1.0000000000000002</v>
      </c>
      <c r="M64" s="309"/>
      <c r="N64" s="309"/>
      <c r="O64" s="309"/>
      <c r="P64" s="310"/>
    </row>
    <row r="67" spans="1:17" x14ac:dyDescent="0.35">
      <c r="A67" s="276" t="s">
        <v>21</v>
      </c>
      <c r="B67" s="278" t="str">
        <f t="shared" ref="B67:E91" si="2">L39</f>
        <v xml:space="preserve">إجمالي النسبة المؤية </v>
      </c>
      <c r="C67" s="279"/>
      <c r="D67" s="279"/>
      <c r="E67" s="280"/>
    </row>
    <row r="68" spans="1:17" x14ac:dyDescent="0.35">
      <c r="A68" s="276"/>
      <c r="B68" s="281"/>
      <c r="C68" s="282"/>
      <c r="D68" s="282"/>
      <c r="E68" s="283"/>
    </row>
    <row r="69" spans="1:17" ht="15" thickBot="1" x14ac:dyDescent="0.4">
      <c r="A69" s="276"/>
      <c r="B69" s="284"/>
      <c r="C69" s="285"/>
      <c r="D69" s="285"/>
      <c r="E69" s="286"/>
      <c r="L69" s="76"/>
      <c r="M69" s="76"/>
      <c r="N69" s="76"/>
      <c r="O69" s="76"/>
      <c r="P69" s="76"/>
    </row>
    <row r="70" spans="1:17" ht="15.5" thickTop="1" thickBot="1" x14ac:dyDescent="0.4">
      <c r="A70" s="277"/>
      <c r="B70" s="84" t="str">
        <f t="shared" si="2"/>
        <v>طوعي</v>
      </c>
      <c r="C70" s="84" t="str">
        <f t="shared" si="2"/>
        <v>تعويضي</v>
      </c>
      <c r="D70" s="84" t="str">
        <f t="shared" si="2"/>
        <v>رخصة قيادة</v>
      </c>
      <c r="E70" s="84" t="str">
        <f t="shared" si="2"/>
        <v>ذاتي</v>
      </c>
      <c r="M70" s="77"/>
      <c r="N70" s="77"/>
      <c r="O70" s="77"/>
      <c r="P70" s="77"/>
      <c r="Q70" s="77"/>
    </row>
    <row r="71" spans="1:17" ht="15" thickTop="1" x14ac:dyDescent="0.35">
      <c r="A71" s="32" t="s">
        <v>26</v>
      </c>
      <c r="B71" s="78">
        <f t="shared" si="2"/>
        <v>0.59995205753096281</v>
      </c>
      <c r="C71" s="52">
        <f t="shared" si="2"/>
        <v>0.38982021574111064</v>
      </c>
      <c r="D71" s="52">
        <f t="shared" si="2"/>
        <v>1.0051937674790252E-2</v>
      </c>
      <c r="E71" s="33">
        <v>0</v>
      </c>
    </row>
    <row r="72" spans="1:17" x14ac:dyDescent="0.35">
      <c r="A72" s="37" t="s">
        <v>27</v>
      </c>
      <c r="B72" s="79">
        <f t="shared" si="2"/>
        <v>0.61875534146530964</v>
      </c>
      <c r="C72" s="60">
        <f t="shared" si="2"/>
        <v>0.38124465853469036</v>
      </c>
      <c r="D72" s="60">
        <f t="shared" si="2"/>
        <v>0</v>
      </c>
      <c r="E72" s="33">
        <v>0</v>
      </c>
      <c r="M72" s="76"/>
      <c r="N72" s="76"/>
      <c r="O72" s="76"/>
      <c r="P72" s="76"/>
      <c r="Q72" s="76"/>
    </row>
    <row r="73" spans="1:17" x14ac:dyDescent="0.35">
      <c r="A73" s="32" t="s">
        <v>28</v>
      </c>
      <c r="B73" s="78">
        <f t="shared" si="2"/>
        <v>0.81280347559417332</v>
      </c>
      <c r="C73" s="54">
        <f t="shared" si="2"/>
        <v>0.14423715819064656</v>
      </c>
      <c r="D73" s="54">
        <f t="shared" si="2"/>
        <v>4.2959366215180171E-2</v>
      </c>
      <c r="E73" s="33">
        <v>0</v>
      </c>
    </row>
    <row r="74" spans="1:17" x14ac:dyDescent="0.35">
      <c r="A74" s="37" t="s">
        <v>29</v>
      </c>
      <c r="B74" s="79">
        <f t="shared" si="2"/>
        <v>0.91249408070184179</v>
      </c>
      <c r="C74" s="60">
        <f t="shared" si="2"/>
        <v>8.7505919298158166E-2</v>
      </c>
      <c r="D74" s="60">
        <f t="shared" si="2"/>
        <v>0</v>
      </c>
      <c r="E74" s="33">
        <v>0</v>
      </c>
    </row>
    <row r="75" spans="1:17" x14ac:dyDescent="0.35">
      <c r="A75" s="32" t="s">
        <v>30</v>
      </c>
      <c r="B75" s="78">
        <f t="shared" si="2"/>
        <v>0.5842696629213483</v>
      </c>
      <c r="C75" s="54">
        <f t="shared" si="2"/>
        <v>0.4055001580505187</v>
      </c>
      <c r="D75" s="54">
        <f t="shared" si="2"/>
        <v>1.0172706112244604E-2</v>
      </c>
      <c r="E75" s="33">
        <v>0</v>
      </c>
    </row>
    <row r="76" spans="1:17" x14ac:dyDescent="0.35">
      <c r="A76" s="37" t="s">
        <v>31</v>
      </c>
      <c r="B76" s="79">
        <f t="shared" si="2"/>
        <v>0.80613345661889346</v>
      </c>
      <c r="C76" s="60">
        <f t="shared" si="2"/>
        <v>0.19386654338110648</v>
      </c>
      <c r="D76" s="60">
        <f t="shared" si="2"/>
        <v>0</v>
      </c>
      <c r="E76" s="33">
        <v>0</v>
      </c>
    </row>
    <row r="77" spans="1:17" x14ac:dyDescent="0.35">
      <c r="A77" s="32" t="s">
        <v>32</v>
      </c>
      <c r="B77" s="78">
        <f t="shared" si="2"/>
        <v>0.99239896180941789</v>
      </c>
      <c r="C77" s="54">
        <f t="shared" si="2"/>
        <v>6.7667779013718945E-3</v>
      </c>
      <c r="D77" s="54">
        <f t="shared" si="2"/>
        <v>0</v>
      </c>
      <c r="E77" s="33">
        <v>0</v>
      </c>
    </row>
    <row r="78" spans="1:17" x14ac:dyDescent="0.35">
      <c r="A78" s="37" t="s">
        <v>33</v>
      </c>
      <c r="B78" s="79">
        <f t="shared" si="2"/>
        <v>0.68622378011461638</v>
      </c>
      <c r="C78" s="60">
        <f t="shared" si="2"/>
        <v>0.27151838869415235</v>
      </c>
      <c r="D78" s="60">
        <f t="shared" si="2"/>
        <v>4.2118733656039617E-2</v>
      </c>
      <c r="E78" s="33">
        <v>0</v>
      </c>
    </row>
    <row r="79" spans="1:17" x14ac:dyDescent="0.35">
      <c r="A79" s="32" t="s">
        <v>34</v>
      </c>
      <c r="B79" s="78">
        <f t="shared" si="2"/>
        <v>0.90046258053857586</v>
      </c>
      <c r="C79" s="54">
        <f t="shared" si="2"/>
        <v>9.9537419461424081E-2</v>
      </c>
      <c r="D79" s="54">
        <f t="shared" si="2"/>
        <v>0</v>
      </c>
      <c r="E79" s="33">
        <v>0</v>
      </c>
    </row>
    <row r="80" spans="1:17" x14ac:dyDescent="0.35">
      <c r="A80" s="37" t="s">
        <v>35</v>
      </c>
      <c r="B80" s="79">
        <f t="shared" si="2"/>
        <v>0.93325882165096596</v>
      </c>
      <c r="C80" s="60">
        <f t="shared" si="2"/>
        <v>5.1732396615040713E-2</v>
      </c>
      <c r="D80" s="60">
        <f t="shared" si="2"/>
        <v>1.5008781733993294E-2</v>
      </c>
      <c r="E80" s="33">
        <v>0</v>
      </c>
    </row>
    <row r="81" spans="1:5" x14ac:dyDescent="0.35">
      <c r="A81" s="32" t="s">
        <v>36</v>
      </c>
      <c r="B81" s="78">
        <f t="shared" si="2"/>
        <v>0.79762966738881103</v>
      </c>
      <c r="C81" s="54">
        <f t="shared" si="2"/>
        <v>0.12030075187969924</v>
      </c>
      <c r="D81" s="54">
        <f t="shared" si="2"/>
        <v>8.2069580731489747E-2</v>
      </c>
      <c r="E81" s="33">
        <v>0</v>
      </c>
    </row>
    <row r="82" spans="1:5" x14ac:dyDescent="0.35">
      <c r="A82" s="37" t="s">
        <v>37</v>
      </c>
      <c r="B82" s="79">
        <f t="shared" si="2"/>
        <v>0.92583906186817633</v>
      </c>
      <c r="C82" s="60">
        <f t="shared" si="2"/>
        <v>7.41609381318237E-2</v>
      </c>
      <c r="D82" s="60">
        <f t="shared" si="2"/>
        <v>0</v>
      </c>
      <c r="E82" s="33">
        <v>0</v>
      </c>
    </row>
    <row r="83" spans="1:5" x14ac:dyDescent="0.35">
      <c r="A83" s="32" t="s">
        <v>38</v>
      </c>
      <c r="B83" s="78">
        <f t="shared" si="2"/>
        <v>0.82666666666666666</v>
      </c>
      <c r="C83" s="54">
        <f t="shared" si="2"/>
        <v>0.15408695652173912</v>
      </c>
      <c r="D83" s="54">
        <f t="shared" si="2"/>
        <v>1.9246376811594204E-2</v>
      </c>
      <c r="E83" s="33">
        <v>0</v>
      </c>
    </row>
    <row r="84" spans="1:5" x14ac:dyDescent="0.35">
      <c r="A84" s="37" t="s">
        <v>39</v>
      </c>
      <c r="B84" s="79">
        <f t="shared" si="2"/>
        <v>0.86658102404110848</v>
      </c>
      <c r="C84" s="60">
        <f t="shared" si="2"/>
        <v>0.10534042943659387</v>
      </c>
      <c r="D84" s="60">
        <f t="shared" si="2"/>
        <v>2.807854652229767E-2</v>
      </c>
      <c r="E84" s="33">
        <v>0</v>
      </c>
    </row>
    <row r="85" spans="1:5" x14ac:dyDescent="0.35">
      <c r="A85" s="32" t="s">
        <v>40</v>
      </c>
      <c r="B85" s="78">
        <f t="shared" si="2"/>
        <v>0.73939475817346667</v>
      </c>
      <c r="C85" s="54">
        <f t="shared" si="2"/>
        <v>0.10821399621723858</v>
      </c>
      <c r="D85" s="54">
        <f t="shared" si="2"/>
        <v>0.15239124560929479</v>
      </c>
      <c r="E85" s="33">
        <v>0</v>
      </c>
    </row>
    <row r="86" spans="1:5" x14ac:dyDescent="0.35">
      <c r="A86" s="37" t="s">
        <v>41</v>
      </c>
      <c r="B86" s="79">
        <f t="shared" si="2"/>
        <v>0.94171446287397298</v>
      </c>
      <c r="C86" s="60">
        <f t="shared" si="2"/>
        <v>5.8285537126026972E-2</v>
      </c>
      <c r="D86" s="60">
        <f t="shared" si="2"/>
        <v>0</v>
      </c>
      <c r="E86" s="33">
        <v>0</v>
      </c>
    </row>
    <row r="87" spans="1:5" x14ac:dyDescent="0.35">
      <c r="A87" s="32" t="s">
        <v>42</v>
      </c>
      <c r="B87" s="78">
        <f t="shared" si="2"/>
        <v>1</v>
      </c>
      <c r="C87" s="54">
        <f t="shared" si="2"/>
        <v>0</v>
      </c>
      <c r="D87" s="54">
        <f t="shared" si="2"/>
        <v>0</v>
      </c>
      <c r="E87" s="33">
        <v>0</v>
      </c>
    </row>
    <row r="88" spans="1:5" x14ac:dyDescent="0.35">
      <c r="A88" s="37" t="s">
        <v>43</v>
      </c>
      <c r="B88" s="79">
        <f t="shared" si="2"/>
        <v>0.98404255319148937</v>
      </c>
      <c r="C88" s="60">
        <f t="shared" si="2"/>
        <v>1.5957446808510637E-2</v>
      </c>
      <c r="D88" s="60">
        <f t="shared" si="2"/>
        <v>0</v>
      </c>
      <c r="E88" s="33">
        <v>0</v>
      </c>
    </row>
    <row r="89" spans="1:5" x14ac:dyDescent="0.35">
      <c r="A89" s="32" t="s">
        <v>44</v>
      </c>
      <c r="B89" s="80">
        <f t="shared" si="2"/>
        <v>0.73209004272099898</v>
      </c>
      <c r="C89" s="52">
        <f t="shared" si="2"/>
        <v>0.26790995727900097</v>
      </c>
      <c r="D89" s="52">
        <f t="shared" si="2"/>
        <v>0</v>
      </c>
      <c r="E89" s="33">
        <v>0</v>
      </c>
    </row>
    <row r="90" spans="1:5" x14ac:dyDescent="0.35">
      <c r="A90" s="37" t="s">
        <v>45</v>
      </c>
      <c r="B90" s="79">
        <f t="shared" si="2"/>
        <v>0.86838768575341074</v>
      </c>
      <c r="C90" s="60">
        <f t="shared" si="2"/>
        <v>0.13161231424658923</v>
      </c>
      <c r="D90" s="60">
        <f t="shared" si="2"/>
        <v>0</v>
      </c>
      <c r="E90" s="33">
        <v>0</v>
      </c>
    </row>
    <row r="91" spans="1:5" x14ac:dyDescent="0.35">
      <c r="A91" s="68" t="s">
        <v>1</v>
      </c>
      <c r="B91" s="81">
        <f t="shared" si="2"/>
        <v>0.76308336880250527</v>
      </c>
      <c r="C91" s="73">
        <f t="shared" si="2"/>
        <v>0.22172235128509368</v>
      </c>
      <c r="D91" s="73">
        <f t="shared" si="2"/>
        <v>1.5130078729672598E-2</v>
      </c>
      <c r="E91" s="6">
        <v>0</v>
      </c>
    </row>
  </sheetData>
  <mergeCells count="21">
    <mergeCell ref="A37:P38"/>
    <mergeCell ref="A3:P5"/>
    <mergeCell ref="A6:A9"/>
    <mergeCell ref="B6:E8"/>
    <mergeCell ref="G6:J8"/>
    <mergeCell ref="L6:O8"/>
    <mergeCell ref="P6:P9"/>
    <mergeCell ref="A67:A70"/>
    <mergeCell ref="B67:E69"/>
    <mergeCell ref="B31:E31"/>
    <mergeCell ref="G31:J31"/>
    <mergeCell ref="L31:O31"/>
    <mergeCell ref="A39:A42"/>
    <mergeCell ref="B39:E41"/>
    <mergeCell ref="G39:J41"/>
    <mergeCell ref="K39:K64"/>
    <mergeCell ref="L39:O41"/>
    <mergeCell ref="P39:P42"/>
    <mergeCell ref="B64:E64"/>
    <mergeCell ref="G64:J64"/>
    <mergeCell ref="L64:P64"/>
  </mergeCells>
  <pageMargins left="0.32" right="1.28" top="0.56000000000000005" bottom="0.28000000000000003" header="0.3" footer="0.3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2:J71"/>
  <sheetViews>
    <sheetView rightToLeft="1" zoomScale="88" zoomScaleNormal="88" workbookViewId="0"/>
  </sheetViews>
  <sheetFormatPr defaultRowHeight="14.5" x14ac:dyDescent="0.35"/>
  <cols>
    <col min="1" max="9" width="20.7265625" customWidth="1"/>
    <col min="10" max="10" width="23.453125" customWidth="1"/>
  </cols>
  <sheetData>
    <row r="2" spans="1:8" ht="15" thickBot="1" x14ac:dyDescent="0.4"/>
    <row r="3" spans="1:8" ht="40" customHeight="1" thickTop="1" thickBot="1" x14ac:dyDescent="0.4">
      <c r="A3" s="333" t="s">
        <v>68</v>
      </c>
      <c r="B3" s="334" t="s">
        <v>290</v>
      </c>
      <c r="C3" s="335"/>
      <c r="D3" s="335"/>
      <c r="E3" s="335"/>
      <c r="F3" s="335"/>
      <c r="G3" s="335"/>
      <c r="H3" s="336"/>
    </row>
    <row r="4" spans="1:8" ht="40" customHeight="1" thickTop="1" thickBot="1" x14ac:dyDescent="0.4">
      <c r="A4" s="333"/>
      <c r="B4" s="86" t="s">
        <v>65</v>
      </c>
      <c r="C4" s="86" t="s">
        <v>77</v>
      </c>
      <c r="D4" s="86" t="s">
        <v>76</v>
      </c>
      <c r="E4" s="86" t="s">
        <v>94</v>
      </c>
      <c r="F4" s="86" t="s">
        <v>95</v>
      </c>
      <c r="G4" s="86" t="s">
        <v>142</v>
      </c>
      <c r="H4" s="86" t="s">
        <v>66</v>
      </c>
    </row>
    <row r="5" spans="1:8" ht="25" customHeight="1" thickTop="1" thickBot="1" x14ac:dyDescent="0.4">
      <c r="A5" s="87" t="s">
        <v>26</v>
      </c>
      <c r="B5" s="88">
        <v>153</v>
      </c>
      <c r="C5" s="88">
        <v>15135</v>
      </c>
      <c r="D5" s="89">
        <v>37542</v>
      </c>
      <c r="E5" s="90">
        <f>C5/D5</f>
        <v>0.4031484737094454</v>
      </c>
      <c r="F5" s="99">
        <f>C5/B5</f>
        <v>98.921568627450981</v>
      </c>
      <c r="G5" s="100">
        <v>1</v>
      </c>
      <c r="H5" s="151">
        <v>4</v>
      </c>
    </row>
    <row r="6" spans="1:8" ht="25" customHeight="1" thickTop="1" thickBot="1" x14ac:dyDescent="0.4">
      <c r="A6" s="91" t="s">
        <v>27</v>
      </c>
      <c r="B6" s="92">
        <v>27</v>
      </c>
      <c r="C6" s="93">
        <v>1080</v>
      </c>
      <c r="D6" s="143">
        <v>15928</v>
      </c>
      <c r="E6" s="90">
        <f t="shared" ref="E6:E24" si="0">C6/D6</f>
        <v>6.7805123053741839E-2</v>
      </c>
      <c r="F6" s="99">
        <f t="shared" ref="F6:F24" si="1">C6/B6</f>
        <v>40</v>
      </c>
      <c r="G6" s="140">
        <v>1</v>
      </c>
      <c r="H6" s="98">
        <v>2</v>
      </c>
    </row>
    <row r="7" spans="1:8" ht="25" customHeight="1" thickTop="1" thickBot="1" x14ac:dyDescent="0.4">
      <c r="A7" s="87" t="s">
        <v>28</v>
      </c>
      <c r="B7" s="88">
        <v>66</v>
      </c>
      <c r="C7" s="88">
        <v>2992</v>
      </c>
      <c r="D7" s="89">
        <v>31805</v>
      </c>
      <c r="E7" s="90">
        <f t="shared" si="0"/>
        <v>9.4073258921553216E-2</v>
      </c>
      <c r="F7" s="99">
        <f t="shared" si="1"/>
        <v>45.333333333333336</v>
      </c>
      <c r="G7" s="100">
        <v>1</v>
      </c>
      <c r="H7" s="99">
        <v>2</v>
      </c>
    </row>
    <row r="8" spans="1:8" ht="25" customHeight="1" thickTop="1" thickBot="1" x14ac:dyDescent="0.4">
      <c r="A8" s="91" t="s">
        <v>29</v>
      </c>
      <c r="B8" s="92">
        <v>362</v>
      </c>
      <c r="C8" s="93">
        <v>21971</v>
      </c>
      <c r="D8" s="143">
        <v>36612</v>
      </c>
      <c r="E8" s="90">
        <f t="shared" si="0"/>
        <v>0.60010379110674095</v>
      </c>
      <c r="F8" s="99">
        <f t="shared" si="1"/>
        <v>60.693370165745854</v>
      </c>
      <c r="G8" s="140">
        <v>1</v>
      </c>
      <c r="H8" s="98">
        <v>1</v>
      </c>
    </row>
    <row r="9" spans="1:8" ht="25" customHeight="1" thickTop="1" thickBot="1" x14ac:dyDescent="0.4">
      <c r="A9" s="87" t="s">
        <v>30</v>
      </c>
      <c r="B9" s="88">
        <v>75</v>
      </c>
      <c r="C9" s="88">
        <v>5282</v>
      </c>
      <c r="D9" s="89">
        <v>20332</v>
      </c>
      <c r="E9" s="90">
        <f t="shared" si="0"/>
        <v>0.25978752705095415</v>
      </c>
      <c r="F9" s="99">
        <f t="shared" si="1"/>
        <v>70.426666666666662</v>
      </c>
      <c r="G9" s="100">
        <v>0</v>
      </c>
      <c r="H9" s="99">
        <v>3</v>
      </c>
    </row>
    <row r="10" spans="1:8" ht="25" customHeight="1" thickTop="1" thickBot="1" x14ac:dyDescent="0.4">
      <c r="A10" s="91" t="s">
        <v>31</v>
      </c>
      <c r="B10" s="92">
        <v>376</v>
      </c>
      <c r="C10" s="93">
        <v>4995</v>
      </c>
      <c r="D10" s="148">
        <v>15693</v>
      </c>
      <c r="E10" s="90">
        <f t="shared" si="0"/>
        <v>0.31829478111259796</v>
      </c>
      <c r="F10" s="99">
        <f t="shared" si="1"/>
        <v>13.284574468085106</v>
      </c>
      <c r="G10" s="150">
        <v>1</v>
      </c>
      <c r="H10" s="149">
        <v>1</v>
      </c>
    </row>
    <row r="11" spans="1:8" ht="25" customHeight="1" thickTop="1" thickBot="1" x14ac:dyDescent="0.4">
      <c r="A11" s="87" t="s">
        <v>32</v>
      </c>
      <c r="B11" s="88">
        <v>23</v>
      </c>
      <c r="C11" s="88">
        <v>650</v>
      </c>
      <c r="D11" s="89">
        <v>10706</v>
      </c>
      <c r="E11" s="90">
        <f t="shared" si="0"/>
        <v>6.0713618531664487E-2</v>
      </c>
      <c r="F11" s="99">
        <f t="shared" si="1"/>
        <v>28.260869565217391</v>
      </c>
      <c r="G11" s="100">
        <v>2</v>
      </c>
      <c r="H11" s="99">
        <v>3</v>
      </c>
    </row>
    <row r="12" spans="1:8" ht="25" customHeight="1" thickTop="1" thickBot="1" x14ac:dyDescent="0.4">
      <c r="A12" s="91" t="s">
        <v>33</v>
      </c>
      <c r="B12" s="92">
        <v>116</v>
      </c>
      <c r="C12" s="93">
        <v>10198</v>
      </c>
      <c r="D12" s="143">
        <v>24667</v>
      </c>
      <c r="E12" s="90">
        <f t="shared" si="0"/>
        <v>0.41342684558316778</v>
      </c>
      <c r="F12" s="99">
        <f t="shared" si="1"/>
        <v>87.91379310344827</v>
      </c>
      <c r="G12" s="140">
        <v>18</v>
      </c>
      <c r="H12" s="98">
        <v>3</v>
      </c>
    </row>
    <row r="13" spans="1:8" ht="25" customHeight="1" thickTop="1" thickBot="1" x14ac:dyDescent="0.4">
      <c r="A13" s="87" t="s">
        <v>34</v>
      </c>
      <c r="B13" s="88">
        <v>65</v>
      </c>
      <c r="C13" s="88">
        <v>2631</v>
      </c>
      <c r="D13" s="89">
        <v>10901</v>
      </c>
      <c r="E13" s="90">
        <f t="shared" si="0"/>
        <v>0.24135400421979636</v>
      </c>
      <c r="F13" s="99">
        <f t="shared" si="1"/>
        <v>40.476923076923079</v>
      </c>
      <c r="G13" s="100">
        <v>2</v>
      </c>
      <c r="H13" s="99">
        <v>1</v>
      </c>
    </row>
    <row r="14" spans="1:8" ht="25" customHeight="1" thickTop="1" thickBot="1" x14ac:dyDescent="0.4">
      <c r="A14" s="91" t="s">
        <v>35</v>
      </c>
      <c r="B14" s="92">
        <v>20</v>
      </c>
      <c r="C14" s="93">
        <v>1260</v>
      </c>
      <c r="D14" s="143">
        <v>5845</v>
      </c>
      <c r="E14" s="90">
        <f t="shared" si="0"/>
        <v>0.21556886227544911</v>
      </c>
      <c r="F14" s="99">
        <f t="shared" si="1"/>
        <v>63</v>
      </c>
      <c r="G14" s="140">
        <v>4</v>
      </c>
      <c r="H14" s="98">
        <v>1</v>
      </c>
    </row>
    <row r="15" spans="1:8" ht="25" customHeight="1" thickTop="1" thickBot="1" x14ac:dyDescent="0.4">
      <c r="A15" s="87" t="s">
        <v>36</v>
      </c>
      <c r="B15" s="88">
        <v>41</v>
      </c>
      <c r="C15" s="88">
        <v>606</v>
      </c>
      <c r="D15" s="89">
        <v>6259</v>
      </c>
      <c r="E15" s="90">
        <f t="shared" si="0"/>
        <v>9.68205783671513E-2</v>
      </c>
      <c r="F15" s="99">
        <f t="shared" si="1"/>
        <v>14.780487804878049</v>
      </c>
      <c r="G15" s="100">
        <v>3</v>
      </c>
      <c r="H15" s="99">
        <v>1</v>
      </c>
    </row>
    <row r="16" spans="1:8" ht="25" customHeight="1" thickTop="1" thickBot="1" x14ac:dyDescent="0.4">
      <c r="A16" s="91" t="s">
        <v>37</v>
      </c>
      <c r="B16" s="92">
        <v>61</v>
      </c>
      <c r="C16" s="93">
        <v>1525</v>
      </c>
      <c r="D16" s="143">
        <v>11448</v>
      </c>
      <c r="E16" s="90">
        <f t="shared" si="0"/>
        <v>0.13321104122990915</v>
      </c>
      <c r="F16" s="99">
        <f t="shared" si="1"/>
        <v>25</v>
      </c>
      <c r="G16" s="140">
        <v>29</v>
      </c>
      <c r="H16" s="98">
        <v>1</v>
      </c>
    </row>
    <row r="17" spans="1:10" ht="25" customHeight="1" thickTop="1" thickBot="1" x14ac:dyDescent="0.4">
      <c r="A17" s="87" t="s">
        <v>38</v>
      </c>
      <c r="B17" s="88">
        <v>41</v>
      </c>
      <c r="C17" s="88">
        <v>1198</v>
      </c>
      <c r="D17" s="89">
        <v>7130</v>
      </c>
      <c r="E17" s="90">
        <f t="shared" si="0"/>
        <v>0.16802244039270686</v>
      </c>
      <c r="F17" s="99">
        <f t="shared" si="1"/>
        <v>29.219512195121951</v>
      </c>
      <c r="G17" s="100">
        <v>2</v>
      </c>
      <c r="H17" s="99">
        <v>1</v>
      </c>
    </row>
    <row r="18" spans="1:10" ht="25" customHeight="1" thickTop="1" thickBot="1" x14ac:dyDescent="0.4">
      <c r="A18" s="91" t="s">
        <v>39</v>
      </c>
      <c r="B18" s="92">
        <v>14</v>
      </c>
      <c r="C18" s="93">
        <v>713</v>
      </c>
      <c r="D18" s="143">
        <v>4722</v>
      </c>
      <c r="E18" s="90">
        <f t="shared" si="0"/>
        <v>0.15099534095722153</v>
      </c>
      <c r="F18" s="99">
        <f t="shared" si="1"/>
        <v>50.928571428571431</v>
      </c>
      <c r="G18" s="140">
        <v>2</v>
      </c>
      <c r="H18" s="98">
        <v>1</v>
      </c>
    </row>
    <row r="19" spans="1:10" ht="25" customHeight="1" thickTop="1" thickBot="1" x14ac:dyDescent="0.4">
      <c r="A19" s="87" t="s">
        <v>40</v>
      </c>
      <c r="B19" s="147">
        <v>74</v>
      </c>
      <c r="C19" s="147">
        <v>2000</v>
      </c>
      <c r="D19" s="187">
        <v>5473</v>
      </c>
      <c r="E19" s="90">
        <f t="shared" si="0"/>
        <v>0.36543029417138678</v>
      </c>
      <c r="F19" s="99">
        <f t="shared" si="1"/>
        <v>27.027027027027028</v>
      </c>
      <c r="G19" s="100">
        <v>6</v>
      </c>
      <c r="H19" s="99">
        <v>1</v>
      </c>
    </row>
    <row r="20" spans="1:10" ht="25" customHeight="1" thickTop="1" thickBot="1" x14ac:dyDescent="0.4">
      <c r="A20" s="91" t="s">
        <v>41</v>
      </c>
      <c r="B20" s="92">
        <v>13</v>
      </c>
      <c r="C20" s="93">
        <v>220</v>
      </c>
      <c r="D20" s="143">
        <v>6075</v>
      </c>
      <c r="E20" s="90">
        <f t="shared" si="0"/>
        <v>3.6213991769547323E-2</v>
      </c>
      <c r="F20" s="99">
        <f t="shared" si="1"/>
        <v>16.923076923076923</v>
      </c>
      <c r="G20" s="140">
        <v>1</v>
      </c>
      <c r="H20" s="98">
        <v>1</v>
      </c>
    </row>
    <row r="21" spans="1:10" ht="25" customHeight="1" thickTop="1" thickBot="1" x14ac:dyDescent="0.4">
      <c r="A21" s="87" t="s">
        <v>42</v>
      </c>
      <c r="B21" s="88">
        <v>115</v>
      </c>
      <c r="C21" s="88">
        <v>3719</v>
      </c>
      <c r="D21" s="89">
        <v>13498</v>
      </c>
      <c r="E21" s="90">
        <f t="shared" si="0"/>
        <v>0.27552229959994073</v>
      </c>
      <c r="F21" s="99">
        <f t="shared" si="1"/>
        <v>32.339130434782611</v>
      </c>
      <c r="G21" s="100">
        <v>0</v>
      </c>
      <c r="H21" s="99">
        <v>1</v>
      </c>
    </row>
    <row r="22" spans="1:10" ht="25" customHeight="1" thickTop="1" thickBot="1" x14ac:dyDescent="0.4">
      <c r="A22" s="91" t="s">
        <v>43</v>
      </c>
      <c r="B22" s="141">
        <v>15</v>
      </c>
      <c r="C22" s="142">
        <v>328</v>
      </c>
      <c r="D22" s="143">
        <v>3515</v>
      </c>
      <c r="E22" s="90">
        <f t="shared" si="0"/>
        <v>9.3314366998577522E-2</v>
      </c>
      <c r="F22" s="99">
        <f t="shared" si="1"/>
        <v>21.866666666666667</v>
      </c>
      <c r="G22" s="140">
        <v>0</v>
      </c>
      <c r="H22" s="98">
        <v>1</v>
      </c>
    </row>
    <row r="23" spans="1:10" ht="25" customHeight="1" thickTop="1" thickBot="1" x14ac:dyDescent="0.4">
      <c r="A23" s="87" t="s">
        <v>44</v>
      </c>
      <c r="B23" s="88">
        <v>87</v>
      </c>
      <c r="C23" s="88">
        <v>6229</v>
      </c>
      <c r="D23" s="89">
        <v>35644</v>
      </c>
      <c r="E23" s="90">
        <f t="shared" si="0"/>
        <v>0.17475591964987094</v>
      </c>
      <c r="F23" s="99">
        <f t="shared" si="1"/>
        <v>71.597701149425291</v>
      </c>
      <c r="G23" s="100">
        <v>3</v>
      </c>
      <c r="H23" s="99">
        <v>2</v>
      </c>
    </row>
    <row r="24" spans="1:10" ht="25" customHeight="1" thickTop="1" thickBot="1" x14ac:dyDescent="0.4">
      <c r="A24" s="91" t="s">
        <v>45</v>
      </c>
      <c r="B24" s="141">
        <v>44</v>
      </c>
      <c r="C24" s="142">
        <v>5458</v>
      </c>
      <c r="D24" s="143">
        <v>17122</v>
      </c>
      <c r="E24" s="90">
        <f t="shared" si="0"/>
        <v>0.31877117159210372</v>
      </c>
      <c r="F24" s="99">
        <f t="shared" si="1"/>
        <v>124.04545454545455</v>
      </c>
      <c r="G24" s="140">
        <v>0</v>
      </c>
      <c r="H24" s="98">
        <v>1</v>
      </c>
    </row>
    <row r="25" spans="1:10" ht="25" customHeight="1" thickTop="1" thickBot="1" x14ac:dyDescent="0.4">
      <c r="A25" s="94" t="s">
        <v>1</v>
      </c>
      <c r="B25" s="95">
        <f>SUM(B5:B24)</f>
        <v>1788</v>
      </c>
      <c r="C25" s="96">
        <f>SUM(C5:C24)</f>
        <v>88190</v>
      </c>
      <c r="D25" s="97">
        <f>SUM(D5:D24)</f>
        <v>320917</v>
      </c>
      <c r="E25" s="101">
        <f>C25/D25</f>
        <v>0.27480625831601319</v>
      </c>
      <c r="F25" s="102">
        <f>C25/B25</f>
        <v>49.323266219239372</v>
      </c>
      <c r="G25" s="103">
        <v>74</v>
      </c>
      <c r="H25" s="102">
        <v>38</v>
      </c>
    </row>
    <row r="26" spans="1:10" ht="15" thickTop="1" x14ac:dyDescent="0.35"/>
    <row r="29" spans="1:10" ht="25" customHeight="1" thickBot="1" x14ac:dyDescent="0.4"/>
    <row r="30" spans="1:10" ht="30" customHeight="1" thickTop="1" thickBot="1" x14ac:dyDescent="0.4">
      <c r="A30" s="341" t="s">
        <v>161</v>
      </c>
      <c r="B30" s="341"/>
      <c r="C30" s="341"/>
      <c r="D30" s="341"/>
      <c r="E30" s="341"/>
      <c r="F30" s="341"/>
      <c r="G30" s="341"/>
      <c r="H30" s="341"/>
      <c r="I30" s="341"/>
      <c r="J30" s="341"/>
    </row>
    <row r="31" spans="1:10" ht="30" customHeight="1" thickTop="1" thickBot="1" x14ac:dyDescent="0.4">
      <c r="A31" s="155" t="s">
        <v>67</v>
      </c>
      <c r="B31" s="155" t="s">
        <v>143</v>
      </c>
      <c r="C31" s="155" t="s">
        <v>144</v>
      </c>
      <c r="D31" s="155" t="s">
        <v>145</v>
      </c>
      <c r="E31" s="155" t="s">
        <v>146</v>
      </c>
      <c r="F31" s="155" t="s">
        <v>147</v>
      </c>
      <c r="G31" s="155" t="s">
        <v>148</v>
      </c>
      <c r="H31" s="156" t="s">
        <v>149</v>
      </c>
      <c r="I31" s="156" t="s">
        <v>150</v>
      </c>
      <c r="J31" s="157" t="s">
        <v>151</v>
      </c>
    </row>
    <row r="32" spans="1:10" ht="25" customHeight="1" thickTop="1" thickBot="1" x14ac:dyDescent="0.4">
      <c r="A32" s="170" t="s">
        <v>160</v>
      </c>
      <c r="B32" s="150" t="s">
        <v>152</v>
      </c>
      <c r="C32" s="150" t="s">
        <v>153</v>
      </c>
      <c r="D32" s="159" t="s">
        <v>154</v>
      </c>
      <c r="E32" s="159" t="s">
        <v>155</v>
      </c>
      <c r="F32" s="159" t="s">
        <v>156</v>
      </c>
      <c r="G32" s="158">
        <v>0</v>
      </c>
      <c r="H32" s="159" t="s">
        <v>157</v>
      </c>
      <c r="I32" s="179"/>
      <c r="J32" s="150" t="s">
        <v>158</v>
      </c>
    </row>
    <row r="33" spans="1:10" ht="25" customHeight="1" thickTop="1" thickBot="1" x14ac:dyDescent="0.4">
      <c r="A33" s="178" t="s">
        <v>60</v>
      </c>
      <c r="B33" s="177" t="s">
        <v>179</v>
      </c>
      <c r="C33" s="177"/>
      <c r="D33" s="177" t="s">
        <v>180</v>
      </c>
      <c r="E33" s="177" t="s">
        <v>181</v>
      </c>
      <c r="F33" s="177" t="s">
        <v>165</v>
      </c>
      <c r="G33" s="177">
        <v>3</v>
      </c>
      <c r="H33" s="177" t="s">
        <v>165</v>
      </c>
      <c r="I33" s="177" t="s">
        <v>182</v>
      </c>
      <c r="J33" s="177" t="s">
        <v>183</v>
      </c>
    </row>
    <row r="34" spans="1:10" ht="25" customHeight="1" thickTop="1" thickBot="1" x14ac:dyDescent="0.85">
      <c r="A34" s="170" t="s">
        <v>73</v>
      </c>
      <c r="B34" s="171" t="s">
        <v>167</v>
      </c>
      <c r="C34" s="171" t="s">
        <v>162</v>
      </c>
      <c r="D34" s="172" t="s">
        <v>163</v>
      </c>
      <c r="E34" s="173" t="s">
        <v>164</v>
      </c>
      <c r="F34" s="172" t="s">
        <v>165</v>
      </c>
      <c r="G34" s="173">
        <v>2</v>
      </c>
      <c r="H34" s="174" t="s">
        <v>166</v>
      </c>
      <c r="I34" s="180" t="s">
        <v>159</v>
      </c>
      <c r="J34" s="175" t="s">
        <v>181</v>
      </c>
    </row>
    <row r="35" spans="1:10" ht="25" customHeight="1" thickTop="1" thickBot="1" x14ac:dyDescent="0.4">
      <c r="A35" s="178" t="s">
        <v>92</v>
      </c>
      <c r="B35" s="177" t="s">
        <v>170</v>
      </c>
      <c r="C35" s="177" t="s">
        <v>171</v>
      </c>
      <c r="D35" s="177" t="s">
        <v>172</v>
      </c>
      <c r="E35" s="177" t="s">
        <v>173</v>
      </c>
      <c r="F35" s="177" t="s">
        <v>174</v>
      </c>
      <c r="G35" s="177" t="s">
        <v>175</v>
      </c>
      <c r="H35" s="177" t="s">
        <v>176</v>
      </c>
      <c r="I35" s="177" t="s">
        <v>177</v>
      </c>
      <c r="J35" s="177" t="s">
        <v>178</v>
      </c>
    </row>
    <row r="36" spans="1:10" ht="25" customHeight="1" thickTop="1" thickBot="1" x14ac:dyDescent="0.4">
      <c r="A36" s="170" t="s">
        <v>184</v>
      </c>
      <c r="B36" s="140" t="s">
        <v>185</v>
      </c>
      <c r="C36" s="140" t="s">
        <v>186</v>
      </c>
      <c r="D36" s="140" t="s">
        <v>190</v>
      </c>
      <c r="E36" s="140" t="s">
        <v>189</v>
      </c>
      <c r="F36" s="140" t="s">
        <v>165</v>
      </c>
      <c r="G36" s="140">
        <v>2</v>
      </c>
      <c r="H36" s="140" t="s">
        <v>166</v>
      </c>
      <c r="I36" s="179" t="s">
        <v>187</v>
      </c>
      <c r="J36" s="140" t="s">
        <v>188</v>
      </c>
    </row>
    <row r="37" spans="1:10" ht="25" customHeight="1" thickTop="1" thickBot="1" x14ac:dyDescent="0.4">
      <c r="A37" s="331" t="s">
        <v>71</v>
      </c>
      <c r="B37" s="177" t="s">
        <v>191</v>
      </c>
      <c r="C37" s="177" t="s">
        <v>192</v>
      </c>
      <c r="D37" s="177" t="s">
        <v>193</v>
      </c>
      <c r="E37" s="177" t="s">
        <v>194</v>
      </c>
      <c r="F37" s="177" t="s">
        <v>169</v>
      </c>
      <c r="G37" s="177">
        <v>4</v>
      </c>
      <c r="H37" s="177" t="s">
        <v>195</v>
      </c>
      <c r="I37" s="179"/>
      <c r="J37" s="177" t="s">
        <v>196</v>
      </c>
    </row>
    <row r="38" spans="1:10" ht="25" customHeight="1" thickTop="1" thickBot="1" x14ac:dyDescent="0.4">
      <c r="A38" s="332"/>
      <c r="B38" s="177" t="s">
        <v>197</v>
      </c>
      <c r="C38" s="177"/>
      <c r="D38" s="177" t="s">
        <v>198</v>
      </c>
      <c r="E38" s="177" t="s">
        <v>198</v>
      </c>
      <c r="F38" s="177" t="s">
        <v>169</v>
      </c>
      <c r="G38" s="177">
        <v>4</v>
      </c>
      <c r="H38" s="177" t="s">
        <v>199</v>
      </c>
      <c r="I38" s="179"/>
      <c r="J38" s="177" t="s">
        <v>200</v>
      </c>
    </row>
    <row r="39" spans="1:10" ht="25" customHeight="1" thickTop="1" thickBot="1" x14ac:dyDescent="0.4">
      <c r="A39" s="170" t="s">
        <v>201</v>
      </c>
      <c r="B39" s="140"/>
      <c r="C39" s="140"/>
      <c r="D39" s="140"/>
      <c r="E39" s="140"/>
      <c r="F39" s="140"/>
      <c r="G39" s="140"/>
      <c r="H39" s="140"/>
      <c r="I39" s="179"/>
      <c r="J39" s="140"/>
    </row>
    <row r="40" spans="1:10" ht="25" customHeight="1" thickTop="1" thickBot="1" x14ac:dyDescent="0.4">
      <c r="A40" s="178" t="s">
        <v>202</v>
      </c>
      <c r="B40" s="177" t="s">
        <v>203</v>
      </c>
      <c r="C40" s="177" t="s">
        <v>204</v>
      </c>
      <c r="D40" s="177" t="s">
        <v>205</v>
      </c>
      <c r="E40" s="177" t="s">
        <v>206</v>
      </c>
      <c r="F40" s="177" t="s">
        <v>174</v>
      </c>
      <c r="G40" s="177" t="s">
        <v>207</v>
      </c>
      <c r="H40" s="177" t="s">
        <v>176</v>
      </c>
      <c r="I40" s="179"/>
      <c r="J40" s="177" t="s">
        <v>206</v>
      </c>
    </row>
    <row r="41" spans="1:10" ht="25" customHeight="1" thickTop="1" thickBot="1" x14ac:dyDescent="0.4">
      <c r="A41" s="338" t="s">
        <v>52</v>
      </c>
      <c r="B41" s="140" t="s">
        <v>179</v>
      </c>
      <c r="C41" s="140" t="s">
        <v>208</v>
      </c>
      <c r="D41" s="140" t="s">
        <v>209</v>
      </c>
      <c r="E41" s="140" t="s">
        <v>210</v>
      </c>
      <c r="F41" s="140" t="s">
        <v>165</v>
      </c>
      <c r="G41" s="140" t="s">
        <v>211</v>
      </c>
      <c r="H41" s="140" t="s">
        <v>165</v>
      </c>
      <c r="I41" s="140" t="s">
        <v>212</v>
      </c>
      <c r="J41" s="140" t="s">
        <v>210</v>
      </c>
    </row>
    <row r="42" spans="1:10" ht="25" customHeight="1" thickTop="1" thickBot="1" x14ac:dyDescent="0.4">
      <c r="A42" s="339"/>
      <c r="B42" s="140" t="s">
        <v>179</v>
      </c>
      <c r="C42" s="140" t="s">
        <v>213</v>
      </c>
      <c r="D42" s="140" t="s">
        <v>209</v>
      </c>
      <c r="E42" s="140" t="s">
        <v>210</v>
      </c>
      <c r="F42" s="140" t="s">
        <v>165</v>
      </c>
      <c r="G42" s="140" t="s">
        <v>211</v>
      </c>
      <c r="H42" s="140" t="s">
        <v>165</v>
      </c>
      <c r="I42" s="140" t="s">
        <v>214</v>
      </c>
      <c r="J42" s="140" t="s">
        <v>210</v>
      </c>
    </row>
    <row r="43" spans="1:10" ht="25" customHeight="1" thickTop="1" thickBot="1" x14ac:dyDescent="0.4">
      <c r="A43" s="339"/>
      <c r="B43" s="140" t="s">
        <v>179</v>
      </c>
      <c r="C43" s="140" t="s">
        <v>215</v>
      </c>
      <c r="D43" s="140" t="s">
        <v>209</v>
      </c>
      <c r="E43" s="140" t="s">
        <v>216</v>
      </c>
      <c r="F43" s="140" t="s">
        <v>165</v>
      </c>
      <c r="G43" s="140" t="s">
        <v>211</v>
      </c>
      <c r="H43" s="140" t="s">
        <v>165</v>
      </c>
      <c r="I43" s="140" t="s">
        <v>214</v>
      </c>
      <c r="J43" s="140" t="s">
        <v>216</v>
      </c>
    </row>
    <row r="44" spans="1:10" ht="25" customHeight="1" thickTop="1" thickBot="1" x14ac:dyDescent="0.4">
      <c r="A44" s="339"/>
      <c r="B44" s="140" t="s">
        <v>179</v>
      </c>
      <c r="C44" s="140" t="s">
        <v>217</v>
      </c>
      <c r="D44" s="140" t="s">
        <v>209</v>
      </c>
      <c r="E44" s="140" t="s">
        <v>218</v>
      </c>
      <c r="F44" s="140" t="s">
        <v>165</v>
      </c>
      <c r="G44" s="140" t="s">
        <v>211</v>
      </c>
      <c r="H44" s="140" t="s">
        <v>165</v>
      </c>
      <c r="I44" s="140" t="s">
        <v>214</v>
      </c>
      <c r="J44" s="140" t="s">
        <v>218</v>
      </c>
    </row>
    <row r="45" spans="1:10" ht="25" customHeight="1" thickTop="1" thickBot="1" x14ac:dyDescent="0.4">
      <c r="A45" s="340"/>
      <c r="B45" s="140" t="s">
        <v>179</v>
      </c>
      <c r="C45" s="140" t="s">
        <v>219</v>
      </c>
      <c r="D45" s="140" t="s">
        <v>209</v>
      </c>
      <c r="E45" s="140" t="s">
        <v>220</v>
      </c>
      <c r="F45" s="140" t="s">
        <v>165</v>
      </c>
      <c r="G45" s="140" t="s">
        <v>211</v>
      </c>
      <c r="H45" s="140" t="s">
        <v>165</v>
      </c>
      <c r="I45" s="140" t="s">
        <v>214</v>
      </c>
      <c r="J45" s="140" t="s">
        <v>220</v>
      </c>
    </row>
    <row r="46" spans="1:10" ht="25" customHeight="1" thickTop="1" thickBot="1" x14ac:dyDescent="0.4">
      <c r="A46" s="331" t="s">
        <v>228</v>
      </c>
      <c r="B46" s="177" t="s">
        <v>221</v>
      </c>
      <c r="C46" s="177" t="s">
        <v>222</v>
      </c>
      <c r="D46" s="177" t="s">
        <v>223</v>
      </c>
      <c r="E46" s="177" t="s">
        <v>224</v>
      </c>
      <c r="F46" s="177" t="s">
        <v>165</v>
      </c>
      <c r="G46" s="177">
        <v>6</v>
      </c>
      <c r="H46" s="177" t="s">
        <v>165</v>
      </c>
      <c r="I46" s="179"/>
      <c r="J46" s="177" t="s">
        <v>168</v>
      </c>
    </row>
    <row r="47" spans="1:10" ht="25" customHeight="1" thickTop="1" thickBot="1" x14ac:dyDescent="0.4">
      <c r="A47" s="337"/>
      <c r="B47" s="177" t="s">
        <v>225</v>
      </c>
      <c r="C47" s="177" t="s">
        <v>226</v>
      </c>
      <c r="D47" s="177" t="s">
        <v>223</v>
      </c>
      <c r="E47" s="177" t="s">
        <v>224</v>
      </c>
      <c r="F47" s="177" t="s">
        <v>165</v>
      </c>
      <c r="G47" s="177">
        <v>6</v>
      </c>
      <c r="H47" s="177" t="s">
        <v>165</v>
      </c>
      <c r="I47" s="179"/>
      <c r="J47" s="177" t="s">
        <v>168</v>
      </c>
    </row>
    <row r="48" spans="1:10" ht="25" customHeight="1" thickTop="1" thickBot="1" x14ac:dyDescent="0.4">
      <c r="A48" s="332"/>
      <c r="B48" s="177" t="s">
        <v>225</v>
      </c>
      <c r="C48" s="177" t="s">
        <v>227</v>
      </c>
      <c r="D48" s="177" t="s">
        <v>223</v>
      </c>
      <c r="E48" s="177" t="s">
        <v>224</v>
      </c>
      <c r="F48" s="177" t="s">
        <v>165</v>
      </c>
      <c r="G48" s="177">
        <v>6</v>
      </c>
      <c r="H48" s="177" t="s">
        <v>165</v>
      </c>
      <c r="I48" s="179"/>
      <c r="J48" s="177" t="s">
        <v>168</v>
      </c>
    </row>
    <row r="49" spans="1:10" ht="25" customHeight="1" thickTop="1" thickBot="1" x14ac:dyDescent="0.4">
      <c r="A49" s="170" t="s">
        <v>234</v>
      </c>
      <c r="B49" s="140" t="s">
        <v>229</v>
      </c>
      <c r="C49" s="140" t="s">
        <v>230</v>
      </c>
      <c r="D49" s="140" t="s">
        <v>193</v>
      </c>
      <c r="E49" s="140" t="s">
        <v>231</v>
      </c>
      <c r="F49" s="140" t="s">
        <v>166</v>
      </c>
      <c r="G49" s="140">
        <v>4</v>
      </c>
      <c r="H49" s="140" t="s">
        <v>166</v>
      </c>
      <c r="I49" s="140" t="s">
        <v>232</v>
      </c>
      <c r="J49" s="140" t="s">
        <v>233</v>
      </c>
    </row>
    <row r="50" spans="1:10" ht="25" customHeight="1" thickTop="1" thickBot="1" x14ac:dyDescent="0.4">
      <c r="A50" s="178" t="s">
        <v>235</v>
      </c>
      <c r="B50" s="177" t="s">
        <v>221</v>
      </c>
      <c r="C50" s="177" t="s">
        <v>236</v>
      </c>
      <c r="D50" s="177" t="s">
        <v>237</v>
      </c>
      <c r="E50" s="177" t="s">
        <v>238</v>
      </c>
      <c r="F50" s="177" t="s">
        <v>165</v>
      </c>
      <c r="G50" s="177">
        <v>2</v>
      </c>
      <c r="H50" s="177" t="s">
        <v>165</v>
      </c>
      <c r="I50" s="177"/>
      <c r="J50" s="177" t="s">
        <v>239</v>
      </c>
    </row>
    <row r="51" spans="1:10" ht="25" customHeight="1" thickTop="1" thickBot="1" x14ac:dyDescent="0.4">
      <c r="A51" s="170" t="s">
        <v>244</v>
      </c>
      <c r="B51" s="140" t="s">
        <v>240</v>
      </c>
      <c r="C51" s="140" t="s">
        <v>241</v>
      </c>
      <c r="D51" s="140" t="s">
        <v>242</v>
      </c>
      <c r="E51" s="140" t="s">
        <v>243</v>
      </c>
      <c r="F51" s="140" t="s">
        <v>166</v>
      </c>
      <c r="G51" s="140">
        <v>1</v>
      </c>
      <c r="H51" s="140" t="s">
        <v>174</v>
      </c>
      <c r="I51" s="140">
        <v>5000</v>
      </c>
      <c r="J51" s="140" t="s">
        <v>206</v>
      </c>
    </row>
    <row r="52" spans="1:10" ht="25" customHeight="1" thickTop="1" thickBot="1" x14ac:dyDescent="0.4">
      <c r="A52" s="331" t="s">
        <v>54</v>
      </c>
      <c r="B52" s="177" t="s">
        <v>179</v>
      </c>
      <c r="C52" s="177" t="s">
        <v>245</v>
      </c>
      <c r="D52" s="177" t="s">
        <v>246</v>
      </c>
      <c r="E52" s="177" t="s">
        <v>247</v>
      </c>
      <c r="F52" s="177" t="s">
        <v>166</v>
      </c>
      <c r="G52" s="177" t="s">
        <v>169</v>
      </c>
      <c r="H52" s="177" t="s">
        <v>165</v>
      </c>
      <c r="I52" s="177">
        <v>25600</v>
      </c>
      <c r="J52" s="177" t="s">
        <v>248</v>
      </c>
    </row>
    <row r="53" spans="1:10" ht="25" customHeight="1" thickTop="1" thickBot="1" x14ac:dyDescent="0.4">
      <c r="A53" s="332"/>
      <c r="B53" s="177" t="s">
        <v>179</v>
      </c>
      <c r="C53" s="177" t="s">
        <v>249</v>
      </c>
      <c r="D53" s="177" t="s">
        <v>246</v>
      </c>
      <c r="E53" s="177" t="s">
        <v>247</v>
      </c>
      <c r="F53" s="177" t="s">
        <v>165</v>
      </c>
      <c r="G53" s="177" t="s">
        <v>250</v>
      </c>
      <c r="H53" s="177" t="s">
        <v>165</v>
      </c>
      <c r="I53" s="177">
        <v>18900</v>
      </c>
      <c r="J53" s="177" t="s">
        <v>248</v>
      </c>
    </row>
    <row r="54" spans="1:10" ht="25" customHeight="1" thickTop="1" thickBot="1" x14ac:dyDescent="0.4">
      <c r="A54" s="184" t="s">
        <v>74</v>
      </c>
      <c r="B54" s="140" t="s">
        <v>252</v>
      </c>
      <c r="C54" s="140" t="s">
        <v>253</v>
      </c>
      <c r="D54" s="140" t="s">
        <v>254</v>
      </c>
      <c r="E54" s="140" t="s">
        <v>254</v>
      </c>
      <c r="F54" s="140" t="s">
        <v>255</v>
      </c>
      <c r="G54" s="140" t="s">
        <v>256</v>
      </c>
      <c r="H54" s="140" t="s">
        <v>166</v>
      </c>
      <c r="I54" s="140" t="s">
        <v>256</v>
      </c>
      <c r="J54" s="140" t="s">
        <v>257</v>
      </c>
    </row>
    <row r="55" spans="1:10" ht="25" customHeight="1" thickTop="1" thickBot="1" x14ac:dyDescent="0.4">
      <c r="A55" s="331" t="s">
        <v>90</v>
      </c>
      <c r="B55" s="177" t="s">
        <v>258</v>
      </c>
      <c r="C55" s="177" t="s">
        <v>259</v>
      </c>
      <c r="D55" s="177" t="s">
        <v>260</v>
      </c>
      <c r="E55" s="177" t="s">
        <v>261</v>
      </c>
      <c r="F55" s="177" t="s">
        <v>262</v>
      </c>
      <c r="G55" s="177" t="s">
        <v>263</v>
      </c>
      <c r="H55" s="177" t="s">
        <v>262</v>
      </c>
      <c r="I55" s="177">
        <v>15000</v>
      </c>
      <c r="J55" s="177" t="s">
        <v>264</v>
      </c>
    </row>
    <row r="56" spans="1:10" ht="25" customHeight="1" thickTop="1" thickBot="1" x14ac:dyDescent="0.4">
      <c r="A56" s="332"/>
      <c r="B56" s="177" t="s">
        <v>258</v>
      </c>
      <c r="C56" s="177" t="s">
        <v>265</v>
      </c>
      <c r="D56" s="177" t="s">
        <v>260</v>
      </c>
      <c r="E56" s="177" t="s">
        <v>261</v>
      </c>
      <c r="F56" s="177" t="s">
        <v>262</v>
      </c>
      <c r="G56" s="177" t="s">
        <v>263</v>
      </c>
      <c r="H56" s="177" t="s">
        <v>262</v>
      </c>
      <c r="I56" s="177">
        <v>11000</v>
      </c>
      <c r="J56" s="177" t="s">
        <v>266</v>
      </c>
    </row>
    <row r="57" spans="1:10" ht="25" customHeight="1" thickTop="1" thickBot="1" x14ac:dyDescent="0.4">
      <c r="A57" s="185" t="s">
        <v>72</v>
      </c>
      <c r="B57" s="140" t="s">
        <v>179</v>
      </c>
      <c r="C57" s="140" t="s">
        <v>267</v>
      </c>
      <c r="D57" s="140" t="s">
        <v>193</v>
      </c>
      <c r="E57" s="140" t="s">
        <v>268</v>
      </c>
      <c r="F57" s="140" t="s">
        <v>165</v>
      </c>
      <c r="G57" s="140" t="s">
        <v>269</v>
      </c>
      <c r="H57" s="140" t="s">
        <v>165</v>
      </c>
      <c r="I57" s="140"/>
      <c r="J57" s="140" t="s">
        <v>168</v>
      </c>
    </row>
    <row r="58" spans="1:10" ht="25" customHeight="1" thickTop="1" thickBot="1" x14ac:dyDescent="0.4">
      <c r="A58" s="331" t="s">
        <v>53</v>
      </c>
      <c r="B58" s="177" t="s">
        <v>167</v>
      </c>
      <c r="C58" s="177" t="s">
        <v>270</v>
      </c>
      <c r="D58" s="177" t="s">
        <v>271</v>
      </c>
      <c r="E58" s="177" t="s">
        <v>272</v>
      </c>
      <c r="F58" s="177" t="s">
        <v>166</v>
      </c>
      <c r="G58" s="177">
        <v>2</v>
      </c>
      <c r="H58" s="177" t="s">
        <v>166</v>
      </c>
      <c r="I58" s="177" t="s">
        <v>273</v>
      </c>
      <c r="J58" s="177" t="s">
        <v>274</v>
      </c>
    </row>
    <row r="59" spans="1:10" ht="25" customHeight="1" thickTop="1" thickBot="1" x14ac:dyDescent="0.4">
      <c r="A59" s="332"/>
      <c r="B59" s="177" t="s">
        <v>167</v>
      </c>
      <c r="C59" s="177" t="s">
        <v>275</v>
      </c>
      <c r="D59" s="177" t="s">
        <v>276</v>
      </c>
      <c r="E59" s="177" t="s">
        <v>277</v>
      </c>
      <c r="F59" s="177" t="s">
        <v>278</v>
      </c>
      <c r="G59" s="177">
        <v>2</v>
      </c>
      <c r="H59" s="177" t="s">
        <v>166</v>
      </c>
      <c r="I59" s="177" t="s">
        <v>279</v>
      </c>
      <c r="J59" s="177" t="s">
        <v>274</v>
      </c>
    </row>
    <row r="60" spans="1:10" ht="25" customHeight="1" thickTop="1" thickBot="1" x14ac:dyDescent="0.4">
      <c r="A60" s="188" t="s">
        <v>251</v>
      </c>
      <c r="B60" s="140" t="s">
        <v>179</v>
      </c>
      <c r="C60" s="140" t="s">
        <v>280</v>
      </c>
      <c r="D60" s="140" t="s">
        <v>281</v>
      </c>
      <c r="E60" s="140" t="s">
        <v>282</v>
      </c>
      <c r="F60" s="140" t="s">
        <v>165</v>
      </c>
      <c r="G60" s="140">
        <v>3</v>
      </c>
      <c r="H60" s="140" t="s">
        <v>165</v>
      </c>
      <c r="I60" s="140" t="s">
        <v>283</v>
      </c>
      <c r="J60" s="140" t="s">
        <v>284</v>
      </c>
    </row>
    <row r="61" spans="1:10" ht="25" customHeight="1" thickTop="1" thickBot="1" x14ac:dyDescent="0.4">
      <c r="A61" s="140"/>
      <c r="B61" s="140"/>
      <c r="C61" s="140"/>
      <c r="D61" s="140"/>
      <c r="E61" s="140"/>
      <c r="F61" s="140"/>
      <c r="G61" s="140"/>
      <c r="H61" s="140"/>
      <c r="I61" s="140"/>
      <c r="J61" s="140"/>
    </row>
    <row r="62" spans="1:10" ht="25" customHeight="1" thickTop="1" thickBot="1" x14ac:dyDescent="0.4">
      <c r="A62" s="140"/>
      <c r="B62" s="140"/>
      <c r="C62" s="140"/>
      <c r="D62" s="140"/>
      <c r="E62" s="140"/>
      <c r="F62" s="140"/>
      <c r="G62" s="140"/>
      <c r="H62" s="140"/>
      <c r="I62" s="140"/>
      <c r="J62" s="140"/>
    </row>
    <row r="63" spans="1:10" ht="25" customHeight="1" thickTop="1" thickBot="1" x14ac:dyDescent="0.4">
      <c r="A63" s="140"/>
      <c r="B63" s="140"/>
      <c r="C63" s="140"/>
      <c r="D63" s="140"/>
      <c r="E63" s="140"/>
      <c r="F63" s="140"/>
      <c r="G63" s="140"/>
      <c r="H63" s="140"/>
      <c r="I63" s="140"/>
      <c r="J63" s="140"/>
    </row>
    <row r="64" spans="1:10" ht="25" customHeight="1" thickTop="1" thickBot="1" x14ac:dyDescent="0.4">
      <c r="A64" s="140"/>
      <c r="B64" s="140"/>
      <c r="C64" s="140"/>
      <c r="D64" s="140"/>
      <c r="E64" s="140"/>
      <c r="F64" s="140"/>
      <c r="G64" s="140"/>
      <c r="H64" s="140"/>
      <c r="I64" s="140"/>
      <c r="J64" s="140"/>
    </row>
    <row r="65" spans="1:10" ht="25" customHeight="1" thickTop="1" thickBot="1" x14ac:dyDescent="0.4">
      <c r="A65" s="140"/>
      <c r="B65" s="140"/>
      <c r="C65" s="140"/>
      <c r="D65" s="140"/>
      <c r="E65" s="140"/>
      <c r="F65" s="140"/>
      <c r="G65" s="140"/>
      <c r="H65" s="140"/>
      <c r="I65" s="140"/>
      <c r="J65" s="140"/>
    </row>
    <row r="66" spans="1:10" ht="25" customHeight="1" thickTop="1" thickBot="1" x14ac:dyDescent="0.4">
      <c r="A66" s="140"/>
      <c r="B66" s="140"/>
      <c r="C66" s="140"/>
      <c r="D66" s="140"/>
      <c r="E66" s="140"/>
      <c r="F66" s="140"/>
      <c r="G66" s="140"/>
      <c r="H66" s="140"/>
      <c r="I66" s="140"/>
      <c r="J66" s="140"/>
    </row>
    <row r="67" spans="1:10" ht="25" customHeight="1" thickTop="1" thickBot="1" x14ac:dyDescent="0.4">
      <c r="A67" s="140"/>
      <c r="B67" s="140"/>
      <c r="C67" s="140"/>
      <c r="D67" s="140"/>
      <c r="E67" s="140"/>
      <c r="F67" s="140"/>
      <c r="G67" s="140"/>
      <c r="H67" s="140"/>
      <c r="I67" s="140"/>
      <c r="J67" s="140"/>
    </row>
    <row r="68" spans="1:10" ht="25" customHeight="1" thickTop="1" thickBot="1" x14ac:dyDescent="0.4">
      <c r="A68" s="140"/>
      <c r="B68" s="140"/>
      <c r="C68" s="140"/>
      <c r="D68" s="140"/>
      <c r="E68" s="140"/>
      <c r="F68" s="140"/>
      <c r="G68" s="140"/>
      <c r="H68" s="140"/>
      <c r="I68" s="140"/>
      <c r="J68" s="140"/>
    </row>
    <row r="69" spans="1:10" ht="15.5" thickTop="1" thickBot="1" x14ac:dyDescent="0.4"/>
    <row r="70" spans="1:10" ht="15.5" thickTop="1" thickBot="1" x14ac:dyDescent="0.4">
      <c r="B70" s="85"/>
      <c r="C70" s="85"/>
      <c r="D70" s="85"/>
      <c r="E70" s="85"/>
    </row>
    <row r="71" spans="1:10" ht="15" thickTop="1" x14ac:dyDescent="0.35"/>
  </sheetData>
  <mergeCells count="9">
    <mergeCell ref="A58:A59"/>
    <mergeCell ref="A55:A56"/>
    <mergeCell ref="A52:A53"/>
    <mergeCell ref="A3:A4"/>
    <mergeCell ref="B3:H3"/>
    <mergeCell ref="A46:A48"/>
    <mergeCell ref="A41:A45"/>
    <mergeCell ref="A37:A38"/>
    <mergeCell ref="A30:J30"/>
  </mergeCells>
  <pageMargins left="0.56000000000000005" right="0.49" top="0.75" bottom="0.75" header="0.3" footer="0.3"/>
  <pageSetup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مختصر الاحصائية 2022</vt:lpstr>
      <vt:lpstr>عدد المتبرعين حسب الجنسية</vt:lpstr>
      <vt:lpstr>عدد المتبرعين حسب الجنس</vt:lpstr>
      <vt:lpstr>حملات التبرع بالدم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2006-09-13T11:26:54Z</dcterms:created>
  <dcterms:modified xsi:type="dcterms:W3CDTF">2023-08-02T13:08:31Z</dcterms:modified>
</cp:coreProperties>
</file>